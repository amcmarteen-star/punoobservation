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ummary" sheetId="1" state="visible" r:id="rId3"/>
    <sheet name="2021" sheetId="2" state="visible" r:id="rId4"/>
    <sheet name="2022" sheetId="3" state="visible" r:id="rId5"/>
    <sheet name="2023" sheetId="4" state="visible" r:id="rId6"/>
    <sheet name="2026" sheetId="5" state="visible" r:id="rId7"/>
    <sheet name="Retention fee CY 2025" sheetId="6" state="hidden" r:id="rId8"/>
    <sheet name="Retention fee 5% Sampling Plot" sheetId="7" state="hidden" r:id="rId9"/>
    <sheet name="Retention Fee" sheetId="8" state="hidden" r:id="rId10"/>
    <sheet name="DPCache_Urdaneta" sheetId="9" state="hidden" r:id="rId11"/>
  </sheets>
  <calcPr iterateCount="100" refMode="A1" iterate="false" iterateDelta="0.0001"/>
  <pivotCaches>
    <pivotCache cacheId="1" r:id="rId13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<sst xmlns="http://schemas.openxmlformats.org/spreadsheetml/2006/main" count="6648" uniqueCount="1030">
  <si>
    <t xml:space="preserve">SUM of ACTUAL AREA PLANTED (HA)</t>
  </si>
  <si>
    <t xml:space="preserve">YEAR CONTRACTED</t>
  </si>
  <si>
    <t xml:space="preserve">IMPLEMENTING CENRO</t>
  </si>
  <si>
    <t xml:space="preserve">Total Result</t>
  </si>
  <si>
    <t xml:space="preserve">Urdaneta City</t>
  </si>
  <si>
    <t xml:space="preserve">REGION 1</t>
  </si>
  <si>
    <t xml:space="preserve">CONTRACT PROFILE</t>
  </si>
  <si>
    <t xml:space="preserve">PENRO</t>
  </si>
  <si>
    <t xml:space="preserve">CONGRESSIONAL DISTRICT</t>
  </si>
  <si>
    <t xml:space="preserve">BARANGAY</t>
  </si>
  <si>
    <t xml:space="preserve">MUNICIPALITY</t>
  </si>
  <si>
    <t xml:space="preserve">IDENTIFY IF WATERSHED, PA OR REGULAR</t>
  </si>
  <si>
    <t xml:space="preserve">MAJOR LAND-USE LOCATION (Name of Watershed,PA or NA)</t>
  </si>
  <si>
    <t xml:space="preserve">ZONE (PRODUCTION OR PROTECTION)</t>
  </si>
  <si>
    <t xml:space="preserve">SITE CODE</t>
  </si>
  <si>
    <t xml:space="preserve">NAME OF PARTNER/CONTRACTOR (GROUP OR INDIVIDUAL)</t>
  </si>
  <si>
    <t xml:space="preserve">NAME OF GROUP CONTACT PERSON OF THE PARTNER GROUP</t>
  </si>
  <si>
    <t xml:space="preserve">LOA/CONTRACT CODE (YEAR-CENRO CODE-3 DIGITS)</t>
  </si>
  <si>
    <t xml:space="preserve">AREA CONTRACTED (HA)</t>
  </si>
  <si>
    <t xml:space="preserve">ACTUAL AREA PLANTED (HA)</t>
  </si>
  <si>
    <t xml:space="preserve">NO. OF SEEDLINGS TO BE PLANTED</t>
  </si>
  <si>
    <t xml:space="preserve">NO. OF SEEDLINGS PLANTED</t>
  </si>
  <si>
    <t xml:space="preserve">COMPONENT</t>
  </si>
  <si>
    <t xml:space="preserve">COMMODITY (if mixed,specify all commodities within the contracted Site)</t>
  </si>
  <si>
    <t xml:space="preserve">SPECIES TO BE PLANTED</t>
  </si>
  <si>
    <t xml:space="preserve">DATE OF EXECUTION OF CONTRACT (MM/DD/YR) 15 DAYS UPON ISSUANCE OF NTP)</t>
  </si>
  <si>
    <t xml:space="preserve">DATE OF EXPIRY OF CONTRACT (END DATE AT YEAR 3)</t>
  </si>
  <si>
    <t xml:space="preserve">DATE OF PERFORMANCE VALIDATION REPORT (IAC REPORT)</t>
  </si>
  <si>
    <t xml:space="preserve">SURVIVAL RATE ON THE 3RD YEAR</t>
  </si>
  <si>
    <t xml:space="preserve">Pangasinan</t>
  </si>
  <si>
    <t xml:space="preserve">VI</t>
  </si>
  <si>
    <t xml:space="preserve">San Felipe East</t>
  </si>
  <si>
    <t xml:space="preserve">San Nicolas</t>
  </si>
  <si>
    <t xml:space="preserve">Agno River Basin</t>
  </si>
  <si>
    <t xml:space="preserve">Production and Protection</t>
  </si>
  <si>
    <t xml:space="preserve">21-015546-0071-0020</t>
  </si>
  <si>
    <t xml:space="preserve">San Felipe Watershed Management Association, Inc.</t>
  </si>
  <si>
    <t xml:space="preserve">Fernando Amarillo</t>
  </si>
  <si>
    <t xml:space="preserve">21-015546-0020-068</t>
  </si>
  <si>
    <t xml:space="preserve">Reforestation</t>
  </si>
  <si>
    <t xml:space="preserve">Timber</t>
  </si>
  <si>
    <t xml:space="preserve">Narra</t>
  </si>
  <si>
    <t xml:space="preserve">22/03/2021</t>
  </si>
  <si>
    <t xml:space="preserve">V</t>
  </si>
  <si>
    <t xml:space="preserve">Calunetan</t>
  </si>
  <si>
    <t xml:space="preserve">Sison</t>
  </si>
  <si>
    <t xml:space="preserve">Bued River Watershed, Toboy-Tacnien River Watershed</t>
  </si>
  <si>
    <t xml:space="preserve">Production</t>
  </si>
  <si>
    <t xml:space="preserve">21-015546-0072-0025</t>
  </si>
  <si>
    <t xml:space="preserve">Barangay Council of Calunetan</t>
  </si>
  <si>
    <t xml:space="preserve">Fernando Abitong</t>
  </si>
  <si>
    <t xml:space="preserve">21-015546-0025-069</t>
  </si>
  <si>
    <t xml:space="preserve">Agroforestry</t>
  </si>
  <si>
    <t xml:space="preserve">Fruit trees,Timber</t>
  </si>
  <si>
    <t xml:space="preserve">Rain tree,Tamarind</t>
  </si>
  <si>
    <t xml:space="preserve">Santa Maria East</t>
  </si>
  <si>
    <t xml:space="preserve">21-015546-0073-0050</t>
  </si>
  <si>
    <t xml:space="preserve">Cabalisyan Kalanguya Tribal Association, Inc.</t>
  </si>
  <si>
    <t xml:space="preserve">Carlito Alvarez</t>
  </si>
  <si>
    <t xml:space="preserve">21-015546-0050-070</t>
  </si>
  <si>
    <t xml:space="preserve">Guyabano,Narra</t>
  </si>
  <si>
    <t xml:space="preserve">Dalumpinas</t>
  </si>
  <si>
    <t xml:space="preserve">21-015546-0074-0025</t>
  </si>
  <si>
    <t xml:space="preserve">Dalumpinas Tree Planters Association, Inc.</t>
  </si>
  <si>
    <t xml:space="preserve">Ruben Martinez</t>
  </si>
  <si>
    <t xml:space="preserve">21-015546-0025-071</t>
  </si>
  <si>
    <t xml:space="preserve">Cacandungan</t>
  </si>
  <si>
    <t xml:space="preserve">Natividad</t>
  </si>
  <si>
    <t xml:space="preserve">21-015546-0075-0030</t>
  </si>
  <si>
    <t xml:space="preserve">Viva Cacandungan San Jose Tree Planters Association, Inc.</t>
  </si>
  <si>
    <t xml:space="preserve">Monico Castillo</t>
  </si>
  <si>
    <t xml:space="preserve">21-015546-0030-072</t>
  </si>
  <si>
    <t xml:space="preserve">Nangapugan</t>
  </si>
  <si>
    <t xml:space="preserve">San Quintin</t>
  </si>
  <si>
    <t xml:space="preserve">21-015546-0076-0025</t>
  </si>
  <si>
    <t xml:space="preserve">Barangay Government of Nangapugan</t>
  </si>
  <si>
    <t xml:space="preserve">Imelda Abuan</t>
  </si>
  <si>
    <t xml:space="preserve">21-015546-0025-073</t>
  </si>
  <si>
    <t xml:space="preserve">Lapalo</t>
  </si>
  <si>
    <t xml:space="preserve">San Manuel</t>
  </si>
  <si>
    <t xml:space="preserve">Toboy-Tacnien River Watershed</t>
  </si>
  <si>
    <t xml:space="preserve">21-015546-0077-0029</t>
  </si>
  <si>
    <t xml:space="preserve">Barangay Government of Lapalo</t>
  </si>
  <si>
    <t xml:space="preserve">Wilferdo Cayoao</t>
  </si>
  <si>
    <t xml:space="preserve">21-015546-0029-074</t>
  </si>
  <si>
    <t xml:space="preserve">Cabangaran</t>
  </si>
  <si>
    <t xml:space="preserve">21-015546-0078-0025</t>
  </si>
  <si>
    <t xml:space="preserve">Barangay Government of Cabangaran</t>
  </si>
  <si>
    <t xml:space="preserve">Julio Ramos</t>
  </si>
  <si>
    <t xml:space="preserve">21-015546-0025-075</t>
  </si>
  <si>
    <t xml:space="preserve">Regular</t>
  </si>
  <si>
    <t xml:space="preserve">22-015546-0071-0020</t>
  </si>
  <si>
    <t xml:space="preserve">22-015546-0020-068</t>
  </si>
  <si>
    <t xml:space="preserve">Fruit trees</t>
  </si>
  <si>
    <t xml:space="preserve">Tamarind</t>
  </si>
  <si>
    <t xml:space="preserve">22-015546-0072-0038</t>
  </si>
  <si>
    <t xml:space="preserve">22-015546-0038-069</t>
  </si>
  <si>
    <t xml:space="preserve">Santo Domingo</t>
  </si>
  <si>
    <t xml:space="preserve">22-015546-0073-0010</t>
  </si>
  <si>
    <t xml:space="preserve">Rang-ay Bantay Association, Inc.</t>
  </si>
  <si>
    <t xml:space="preserve">Ronaldo Apilado</t>
  </si>
  <si>
    <t xml:space="preserve">22-015546-0010-070</t>
  </si>
  <si>
    <t xml:space="preserve">22-015546-0074-0010</t>
  </si>
  <si>
    <t xml:space="preserve">22-015546-0010-071</t>
  </si>
  <si>
    <t xml:space="preserve">NO. OF SITE/S OR POLYGON COVERED</t>
  </si>
  <si>
    <t xml:space="preserve">RETENTION FEE at 3rd YEAR (Amount paid)</t>
  </si>
  <si>
    <t xml:space="preserve">RETENTION FEE at 3rd YEAR (Date paid)</t>
  </si>
  <si>
    <t xml:space="preserve">Alibeng</t>
  </si>
  <si>
    <t xml:space="preserve">Watershed</t>
  </si>
  <si>
    <t xml:space="preserve">Taboy-Tacnien River Watershed</t>
  </si>
  <si>
    <t xml:space="preserve">23-015546-0004-0050</t>
  </si>
  <si>
    <t xml:space="preserve">Alibeng Bel-bel Upland Farmers Association, Inc.</t>
  </si>
  <si>
    <t xml:space="preserve">Mr. Renerio S. Ingean Jr.</t>
  </si>
  <si>
    <t xml:space="preserve">23-015546-0050-004</t>
  </si>
  <si>
    <t xml:space="preserve">Fruit trees, Timber</t>
  </si>
  <si>
    <t xml:space="preserve">Narra, Eucalyptus, Tamarind</t>
  </si>
  <si>
    <t xml:space="preserve">San Vicente</t>
  </si>
  <si>
    <t xml:space="preserve">NA</t>
  </si>
  <si>
    <t xml:space="preserve">26-676767-0067-0069</t>
  </si>
  <si>
    <t xml:space="preserve">Lorem Ipsum Paldo Upland Farmers Association, Inc.</t>
  </si>
  <si>
    <t xml:space="preserve">Juan Dela Cruz Jr.</t>
  </si>
  <si>
    <t xml:space="preserve">DEPARTMENT OF ENVIRONMENT AND NATURAL RESOURCES REGIONAL OFFICE 1</t>
  </si>
  <si>
    <t xml:space="preserve">CITY OF SAN FERNANDO, LA UNION</t>
  </si>
  <si>
    <t xml:space="preserve">LIST OF NGP ESTABLISHED PLANTATIONS SUBJECT FOR VALIDATION FOR PAYMENT OF 10% RETENTION FEE</t>
  </si>
  <si>
    <t xml:space="preserve">Province</t>
  </si>
  <si>
    <t xml:space="preserve">Implementing Unit</t>
  </si>
  <si>
    <t xml:space="preserve">Barangay</t>
  </si>
  <si>
    <t xml:space="preserve">Municipality/ City</t>
  </si>
  <si>
    <t xml:space="preserve">Site Code</t>
  </si>
  <si>
    <t xml:space="preserve">Name of Partner Organization</t>
  </si>
  <si>
    <t xml:space="preserve">Year</t>
  </si>
  <si>
    <t xml:space="preserve">Commodity</t>
  </si>
  <si>
    <t xml:space="preserve">Species Planted</t>
  </si>
  <si>
    <t xml:space="preserve">Area</t>
  </si>
  <si>
    <t xml:space="preserve">Plots to be validated</t>
  </si>
  <si>
    <t xml:space="preserve">(a)</t>
  </si>
  <si>
    <t xml:space="preserve">(b)</t>
  </si>
  <si>
    <t xml:space="preserve">(c)</t>
  </si>
  <si>
    <t xml:space="preserve">(d)</t>
  </si>
  <si>
    <t xml:space="preserve">(e)</t>
  </si>
  <si>
    <t xml:space="preserve">(g)</t>
  </si>
  <si>
    <t xml:space="preserve">(h)</t>
  </si>
  <si>
    <t xml:space="preserve">(i)</t>
  </si>
  <si>
    <t xml:space="preserve">20-015546-0106-0015</t>
  </si>
  <si>
    <t xml:space="preserve">Animo Tacnien Association,Inc.</t>
  </si>
  <si>
    <t xml:space="preserve">Gmelina,Narra</t>
  </si>
  <si>
    <t xml:space="preserve">20-015546-0107-0025</t>
  </si>
  <si>
    <t xml:space="preserve">Cabalisyan Kalanguya Tribal Association,Inc.</t>
  </si>
  <si>
    <t xml:space="preserve">20-015546-0108-0020</t>
  </si>
  <si>
    <t xml:space="preserve">20-015546-0109-0020</t>
  </si>
  <si>
    <t xml:space="preserve">20-015546-0110-0020</t>
  </si>
  <si>
    <t xml:space="preserve">Fianza</t>
  </si>
  <si>
    <t xml:space="preserve">20-015546-0111-0025</t>
  </si>
  <si>
    <t xml:space="preserve">I-Owak Tribe Earth Savers Association,Inc.</t>
  </si>
  <si>
    <t xml:space="preserve">Eucalyptus,Gmelina,Narra</t>
  </si>
  <si>
    <t xml:space="preserve">20-015546-0112-0025</t>
  </si>
  <si>
    <t xml:space="preserve">20-015546-0113-0025</t>
  </si>
  <si>
    <t xml:space="preserve">20-015546-0114-0025</t>
  </si>
  <si>
    <t xml:space="preserve">20-015546-0115-0015</t>
  </si>
  <si>
    <t xml:space="preserve">20-015546-0116-0015</t>
  </si>
  <si>
    <t xml:space="preserve">20-015546-0117-0020</t>
  </si>
  <si>
    <t xml:space="preserve">NAEVAM Irrigators Association,Inc.</t>
  </si>
  <si>
    <t xml:space="preserve">20-015546-0118-0021</t>
  </si>
  <si>
    <t xml:space="preserve">Puyao Forest Workers Association,Inc.</t>
  </si>
  <si>
    <t xml:space="preserve">Narra,Tamarind</t>
  </si>
  <si>
    <t xml:space="preserve">20-015546-0119-0009</t>
  </si>
  <si>
    <t xml:space="preserve">20-015546-0120-0020</t>
  </si>
  <si>
    <t xml:space="preserve">20-015546-0121-0025</t>
  </si>
  <si>
    <t xml:space="preserve">Rang-ay Bantay Association,Inc.</t>
  </si>
  <si>
    <t xml:space="preserve">20-015546-0122-0025</t>
  </si>
  <si>
    <t xml:space="preserve">20-015546-0123-0025</t>
  </si>
  <si>
    <t xml:space="preserve">Ubbog ti Daya Multi-Purpose Cooperative</t>
  </si>
  <si>
    <t xml:space="preserve">20-015546-0124-0025</t>
  </si>
  <si>
    <t xml:space="preserve">20-015546-0125-0025</t>
  </si>
  <si>
    <t xml:space="preserve">Viva Cacandungan San Jose Tree Planters Association,Inc.</t>
  </si>
  <si>
    <t xml:space="preserve">Duhat,Eucalyptus,Narra</t>
  </si>
  <si>
    <t xml:space="preserve">20-015546-0126-0025</t>
  </si>
  <si>
    <t xml:space="preserve">Calitlitan</t>
  </si>
  <si>
    <t xml:space="preserve">Umingan</t>
  </si>
  <si>
    <t xml:space="preserve">20-015546-0127-0025</t>
  </si>
  <si>
    <t xml:space="preserve">Duhat,Narra</t>
  </si>
  <si>
    <t xml:space="preserve">San Felipe Watershed Management Association,Inc.</t>
  </si>
  <si>
    <t xml:space="preserve">Dalumpinas Tree Planters Association,Inc.</t>
  </si>
  <si>
    <t xml:space="preserve">17-015545-0092-0030</t>
  </si>
  <si>
    <t xml:space="preserve">Bamboo</t>
  </si>
  <si>
    <t xml:space="preserve">Bayog</t>
  </si>
  <si>
    <t xml:space="preserve">Malico</t>
  </si>
  <si>
    <t xml:space="preserve">17-015545-0174-0050</t>
  </si>
  <si>
    <t xml:space="preserve">Skyline Green Forest Conservation Association,Inc.</t>
  </si>
  <si>
    <t xml:space="preserve">Coffee,Timber</t>
  </si>
  <si>
    <t xml:space="preserve">Coffee,Narra</t>
  </si>
  <si>
    <t xml:space="preserve">17-015546-0088-0050</t>
  </si>
  <si>
    <t xml:space="preserve">17-015546-0089-0030</t>
  </si>
  <si>
    <t xml:space="preserve">17-015546-0090-0025</t>
  </si>
  <si>
    <t xml:space="preserve">Salingcob</t>
  </si>
  <si>
    <t xml:space="preserve">17-015546-0091-0050</t>
  </si>
  <si>
    <t xml:space="preserve">Barangay Council of Salingcob</t>
  </si>
  <si>
    <t xml:space="preserve">17-015546-0093-0040</t>
  </si>
  <si>
    <t xml:space="preserve">San Roque</t>
  </si>
  <si>
    <t xml:space="preserve">17-015546-0094-0050</t>
  </si>
  <si>
    <t xml:space="preserve">Barangay Council of San Roque</t>
  </si>
  <si>
    <t xml:space="preserve">17-015546-0095-0050</t>
  </si>
  <si>
    <t xml:space="preserve">Cabalisian Tree Planters Association,Inc.</t>
  </si>
  <si>
    <t xml:space="preserve">Santa Rosa</t>
  </si>
  <si>
    <t xml:space="preserve">Santa Maria</t>
  </si>
  <si>
    <t xml:space="preserve">17-015546-0096-0025</t>
  </si>
  <si>
    <t xml:space="preserve">Local Government of Santa Maria De Pila</t>
  </si>
  <si>
    <t xml:space="preserve">17-015546-0172-0050</t>
  </si>
  <si>
    <t xml:space="preserve">Alibeng Bel-bel Upland Farmers Association,Inc.</t>
  </si>
  <si>
    <t xml:space="preserve">Narra,Rain tree,Tamarind</t>
  </si>
  <si>
    <t xml:space="preserve">17-015546-0173-0050</t>
  </si>
  <si>
    <t xml:space="preserve">Coffee,Fruit trees</t>
  </si>
  <si>
    <t xml:space="preserve">Coffee,Duhat</t>
  </si>
  <si>
    <t xml:space="preserve">Maseil-seil</t>
  </si>
  <si>
    <t xml:space="preserve">17-015546-0175-0050</t>
  </si>
  <si>
    <t xml:space="preserve">Greener Environment for Maseil-seil Inc.</t>
  </si>
  <si>
    <t xml:space="preserve">Duhat,Guyabano,Narra,Tamarind</t>
  </si>
  <si>
    <t xml:space="preserve">Salpad</t>
  </si>
  <si>
    <t xml:space="preserve">17-015546-0176-0050</t>
  </si>
  <si>
    <t xml:space="preserve">Salpad Forest Workers Association,Inc.</t>
  </si>
  <si>
    <t xml:space="preserve">San Andres</t>
  </si>
  <si>
    <t xml:space="preserve">Balungao</t>
  </si>
  <si>
    <t xml:space="preserve">17-015546-0177-0050</t>
  </si>
  <si>
    <t xml:space="preserve">Mabini San Andres Balungao Hilltop Developers Association,Inc.</t>
  </si>
  <si>
    <t xml:space="preserve">Duhat,Guyabano,Mahogany,Narra,Rain tree</t>
  </si>
  <si>
    <t xml:space="preserve">17-015546-0178-0050</t>
  </si>
  <si>
    <t xml:space="preserve">17-015546-0179-0050</t>
  </si>
  <si>
    <t xml:space="preserve">17-015546-0180-0050</t>
  </si>
  <si>
    <t xml:space="preserve">Aquille Mountain Climbers Association,Inc.</t>
  </si>
  <si>
    <t xml:space="preserve">17-015546-0181-0050</t>
  </si>
  <si>
    <t xml:space="preserve">17-015546-0195-0050</t>
  </si>
  <si>
    <t xml:space="preserve">Ilang ilang</t>
  </si>
  <si>
    <t xml:space="preserve">Sta. Maria East</t>
  </si>
  <si>
    <t xml:space="preserve">17-015546-0279-0040</t>
  </si>
  <si>
    <t xml:space="preserve">Puyao Forest Workers Association, Inc.</t>
  </si>
  <si>
    <t xml:space="preserve">Indigeneous</t>
  </si>
  <si>
    <t xml:space="preserve">Bignai, Batino, Calumpit, Molave, Palosapis</t>
  </si>
  <si>
    <t xml:space="preserve">18-015545-0217-0060</t>
  </si>
  <si>
    <t xml:space="preserve">San Eugenio</t>
  </si>
  <si>
    <t xml:space="preserve">18-015546-0210-0060</t>
  </si>
  <si>
    <t xml:space="preserve">Samahang Masa ng San eugenio Natividad Association,Inc.</t>
  </si>
  <si>
    <t xml:space="preserve">18-015546-0211-0060</t>
  </si>
  <si>
    <t xml:space="preserve">Gmelina,Narra,Rain tree</t>
  </si>
  <si>
    <t xml:space="preserve">18-015546-0212-0050</t>
  </si>
  <si>
    <t xml:space="preserve">Atis,Duhat,Guyabano,Narra</t>
  </si>
  <si>
    <t xml:space="preserve">18-015546-0213-0050</t>
  </si>
  <si>
    <t xml:space="preserve">Coffee,Fruit trees,Timber</t>
  </si>
  <si>
    <t xml:space="preserve">Coffee,Duhat,Narra</t>
  </si>
  <si>
    <t xml:space="preserve">18-015546-0214-0050</t>
  </si>
  <si>
    <t xml:space="preserve">Duhat,Guyabano,Narra</t>
  </si>
  <si>
    <t xml:space="preserve">18-015546-0215-0060</t>
  </si>
  <si>
    <t xml:space="preserve">Gmelina,Eucalyptus,Narra</t>
  </si>
  <si>
    <t xml:space="preserve">18-015546-0216-0060</t>
  </si>
  <si>
    <t xml:space="preserve">Eucalyptus,Gmelina</t>
  </si>
  <si>
    <t xml:space="preserve">18-015546-0218-0050</t>
  </si>
  <si>
    <t xml:space="preserve">Malico Indigeneous Peoples Development Association,Inc.</t>
  </si>
  <si>
    <t xml:space="preserve">Coffee,Fuelwood</t>
  </si>
  <si>
    <t xml:space="preserve">Alnus,Coffee</t>
  </si>
  <si>
    <t xml:space="preserve">18-015546-0219-0050</t>
  </si>
  <si>
    <t xml:space="preserve">Casantamarian</t>
  </si>
  <si>
    <t xml:space="preserve">18-015546-0220-0050</t>
  </si>
  <si>
    <t xml:space="preserve">Barangay Government of Casantamaria-an</t>
  </si>
  <si>
    <t xml:space="preserve">18-015546-0221-0050</t>
  </si>
  <si>
    <t xml:space="preserve">Narra,Rain tree</t>
  </si>
  <si>
    <t xml:space="preserve">18-015546-0222-0050</t>
  </si>
  <si>
    <t xml:space="preserve">Tamarind,Rain tree</t>
  </si>
  <si>
    <t xml:space="preserve">18-015546-0235-0020</t>
  </si>
  <si>
    <t xml:space="preserve">Mabini San Andres Balungao Hilltop Developers Association Inc.</t>
  </si>
  <si>
    <t xml:space="preserve">Barangays that are Within Banila River</t>
  </si>
  <si>
    <t xml:space="preserve">18-015546-0271-0025</t>
  </si>
  <si>
    <t xml:space="preserve">MLGU Pangasinan</t>
  </si>
  <si>
    <t xml:space="preserve">18-015546-0269-0017</t>
  </si>
  <si>
    <t xml:space="preserve">BLGU Casantamarian</t>
  </si>
  <si>
    <t xml:space="preserve">18-015546-0270-0060</t>
  </si>
  <si>
    <t xml:space="preserve">Skyline Green Forest Conservation Association, Inc.</t>
  </si>
  <si>
    <t xml:space="preserve">B.Pine</t>
  </si>
  <si>
    <t xml:space="preserve">CONTRACT EXECUTION</t>
  </si>
  <si>
    <t xml:space="preserve">STATUS OF REGISTRY TO THE BOOK OF ACCOUNTS</t>
  </si>
  <si>
    <t xml:space="preserve">FOREST DISTURBANCE</t>
  </si>
  <si>
    <t xml:space="preserve">STATUS OF THE SITE</t>
  </si>
  <si>
    <t xml:space="preserve">EXTRA</t>
  </si>
  <si>
    <t xml:space="preserve">PROJECT COST (3 YEARS)</t>
  </si>
  <si>
    <t xml:space="preserve">SEEDLING PRODUCTION</t>
  </si>
  <si>
    <t xml:space="preserve">Site Preparation and Development</t>
  </si>
  <si>
    <t xml:space="preserve">YEAR 1 COST</t>
  </si>
  <si>
    <t xml:space="preserve">YEAR 2 COST</t>
  </si>
  <si>
    <t xml:space="preserve">YEAR 3 COST</t>
  </si>
  <si>
    <t xml:space="preserve">ACTUAL GROSS AMOUNT PAID (FROM YEAR 1 to 4)</t>
  </si>
  <si>
    <t xml:space="preserve">AMOUNT STILL IN CIP</t>
  </si>
  <si>
    <t xml:space="preserve">AMOUNT UNDER LAND IMPROVEMENT</t>
  </si>
  <si>
    <t xml:space="preserve">DATE OF ACTUAL TURN-OVER OF THE PROJECT TO DENR</t>
  </si>
  <si>
    <t xml:space="preserve">TURN-OVER OF THE PROJECT TO THE PO OR OTHER PARTNERS WITH MANAGEMENT ARRANGEMENT</t>
  </si>
  <si>
    <t xml:space="preserve">Area Damaged</t>
  </si>
  <si>
    <t xml:space="preserve">Cause of Damage</t>
  </si>
  <si>
    <t xml:space="preserve">Status of Derecognition</t>
  </si>
  <si>
    <t xml:space="preserve">Date Updated</t>
  </si>
  <si>
    <t xml:space="preserve">Status 
  (Adopted,Partly Adopted,Tenured,Ongoing Process for Tenure,NA)</t>
  </si>
  <si>
    <t xml:space="preserve">Adopting Entity Name or Type of Tenure</t>
  </si>
  <si>
    <t xml:space="preserve">ELCAC SITE, REGULAR SITE, COBF SITE</t>
  </si>
  <si>
    <t xml:space="preserve">SAMPLE PLOT 10 %</t>
  </si>
  <si>
    <t xml:space="preserve">SAMPLE PLOT 5%</t>
  </si>
  <si>
    <t xml:space="preserve">SAMPLE PLOT (2024 Current)</t>
  </si>
  <si>
    <t xml:space="preserve">SAMPLE PLOT (2025 Current)</t>
  </si>
  <si>
    <t xml:space="preserve">DATE EVALUATED</t>
  </si>
  <si>
    <t xml:space="preserve">THIRD PARTY CONSULTANT</t>
  </si>
  <si>
    <t xml:space="preserve">ADJECTIVAL STOCKING DENSITY</t>
  </si>
  <si>
    <t xml:space="preserve">ADJECTIVAL PRODUCTIVITY IN TERMS OF VOLUME</t>
  </si>
  <si>
    <t xml:space="preserve">LATEST SURVIVAL RATE %  (RESULT OF 3RD PARTY)</t>
  </si>
  <si>
    <t xml:space="preserve">REMARKS</t>
  </si>
  <si>
    <t xml:space="preserve">17-015546-0030-220</t>
  </si>
  <si>
    <t xml:space="preserve">Forest Fire                                                                                         Fire-excape fire from charcoal pit from a private land                      (January 31,2019)                                                                      Charcoal Making (March 1,2020)                                                                        Farming (January 8,2022)</t>
  </si>
  <si>
    <t xml:space="preserve">Tenured</t>
  </si>
  <si>
    <t xml:space="preserve">CBFMA</t>
  </si>
  <si>
    <t xml:space="preserve">Regular Site</t>
  </si>
  <si>
    <t xml:space="preserve">Protection</t>
  </si>
  <si>
    <t xml:space="preserve">Romy Paay</t>
  </si>
  <si>
    <t xml:space="preserve">17-015546-0050-227</t>
  </si>
  <si>
    <t xml:space="preserve">CADT</t>
  </si>
  <si>
    <t xml:space="preserve">Felix Lorenzo</t>
  </si>
  <si>
    <t xml:space="preserve">17-015546-0050-216</t>
  </si>
  <si>
    <t xml:space="preserve">Jovencio Macayan</t>
  </si>
  <si>
    <t xml:space="preserve">17-015546-0030-217</t>
  </si>
  <si>
    <t xml:space="preserve">17-015546-0025-218</t>
  </si>
  <si>
    <t xml:space="preserve">25                                 17</t>
  </si>
  <si>
    <t xml:space="preserve">Forest Fire                                                                       Hunting( March 5,2019)                                         Hunting(April 12,2021)</t>
  </si>
  <si>
    <t xml:space="preserve">Adopted</t>
  </si>
  <si>
    <t xml:space="preserve">Mr. John Renzo Payoyo</t>
  </si>
  <si>
    <t xml:space="preserve">Cesario Marquez</t>
  </si>
  <si>
    <t xml:space="preserve">17-015546-0050-219</t>
  </si>
  <si>
    <t xml:space="preserve">Forest Fire                                                                                            Honey Collectio/firewood gathering (April 3,2020)</t>
  </si>
  <si>
    <t xml:space="preserve">17-015546-0040-221</t>
  </si>
  <si>
    <t xml:space="preserve">30                                                                                 40</t>
  </si>
  <si>
    <t xml:space="preserve">Forest Fire                                                                  Burning of grasses from adjacent riceland along Calunetan creek( February 22,2020                        Burning of grasses from adjacent riceland along Calunetan creek (January 25-26,2023)</t>
  </si>
  <si>
    <t xml:space="preserve">Primo Lopez</t>
  </si>
  <si>
    <t xml:space="preserve">17-015546-0050-222</t>
  </si>
  <si>
    <t xml:space="preserve">Forest Fire                                                      Accedental (February 5,2020)</t>
  </si>
  <si>
    <t xml:space="preserve">For delisting</t>
  </si>
  <si>
    <t xml:space="preserve">Francisco Florentin</t>
  </si>
  <si>
    <t xml:space="preserve">17-015546-0050-223</t>
  </si>
  <si>
    <t xml:space="preserve">37                                  3.5</t>
  </si>
  <si>
    <t xml:space="preserve">Forest Fire                                                                                              Ignited allegedly by honey gatherers (February 5,2023)                                                                                                     Honey collection/Firewood gathering (April 26,2020)</t>
  </si>
  <si>
    <t xml:space="preserve">Malico Agroforestery Development Corporation</t>
  </si>
  <si>
    <t xml:space="preserve">Municipal Mayor</t>
  </si>
  <si>
    <t xml:space="preserve">17-015546-0025-224</t>
  </si>
  <si>
    <t xml:space="preserve">Forest Fire                                                                     Undetermined (March 17,2019                                                Farming (February 28,2020)</t>
  </si>
  <si>
    <t xml:space="preserve">Eduardo Luzan</t>
  </si>
  <si>
    <t xml:space="preserve">17-015546-0050-225</t>
  </si>
  <si>
    <t xml:space="preserve">17-015546-0050-226</t>
  </si>
  <si>
    <t xml:space="preserve">Benito Valdrez</t>
  </si>
  <si>
    <t xml:space="preserve">17-015546-0050-228</t>
  </si>
  <si>
    <t xml:space="preserve">Danilo Serios</t>
  </si>
  <si>
    <t xml:space="preserve">17-015546-0050-229</t>
  </si>
  <si>
    <t xml:space="preserve">Forest Fire                                                                        Incediarism( May 16-17,2021)</t>
  </si>
  <si>
    <t xml:space="preserve">Marcelo Cabito</t>
  </si>
  <si>
    <t xml:space="preserve">17-015546-0050-230</t>
  </si>
  <si>
    <t xml:space="preserve">21/6/2021</t>
  </si>
  <si>
    <t xml:space="preserve">Federico M. Egipto</t>
  </si>
  <si>
    <t xml:space="preserve">17-015546-0050-231</t>
  </si>
  <si>
    <t xml:space="preserve">35                                                                                     23                                                            19</t>
  </si>
  <si>
    <t xml:space="preserve">Forest Fire                                                                                                    Hunting( February 2,2020                                                                                                    Farming (February 7,2021)                                                                                                                           Farming (January 8,2022)</t>
  </si>
  <si>
    <t xml:space="preserve">17-015546-0050-232</t>
  </si>
  <si>
    <t xml:space="preserve">Edelberto A. Tamondong Sr. Masonic Lodge 217</t>
  </si>
  <si>
    <t xml:space="preserve">Teresa Abrue</t>
  </si>
  <si>
    <t xml:space="preserve">17-015546-0050-233</t>
  </si>
  <si>
    <t xml:space="preserve">CSC</t>
  </si>
  <si>
    <t xml:space="preserve">Wilfredo Jaime</t>
  </si>
  <si>
    <t xml:space="preserve">17-015546-0050-234</t>
  </si>
  <si>
    <t xml:space="preserve">17-015546-0050-235</t>
  </si>
  <si>
    <t xml:space="preserve">14                                 20                              20                      22.50</t>
  </si>
  <si>
    <t xml:space="preserve">Forest Fire                                                                                          Hunting (January 14,2019)                                                             Cogon gatherer (May 18,2020)                                                                           Hunting (February 27,2022                                                        Cultivation,Pasture/Hunting (January 30-31,2023)</t>
  </si>
  <si>
    <t xml:space="preserve">Forest Knight Association Inc.</t>
  </si>
  <si>
    <t xml:space="preserve">Herminildo Ayang</t>
  </si>
  <si>
    <t xml:space="preserve">17-015546-0040-236</t>
  </si>
  <si>
    <t xml:space="preserve">ERDB</t>
  </si>
  <si>
    <t xml:space="preserve">18-015546-0060-204</t>
  </si>
  <si>
    <t xml:space="preserve">Not yet turn-over</t>
  </si>
  <si>
    <t xml:space="preserve">Fernando Ilasin</t>
  </si>
  <si>
    <t xml:space="preserve">18-015546-0060-197</t>
  </si>
  <si>
    <t xml:space="preserve">Forest Fire                                                                           Hunting (January 31,2023)</t>
  </si>
  <si>
    <t xml:space="preserve">Alfredo Jaime</t>
  </si>
  <si>
    <t xml:space="preserve">18-015546-0060-198</t>
  </si>
  <si>
    <t xml:space="preserve">18-015546-0050-199</t>
  </si>
  <si>
    <t xml:space="preserve">18-015546-0050-200</t>
  </si>
  <si>
    <t xml:space="preserve">Herminigildo Ayang</t>
  </si>
  <si>
    <t xml:space="preserve">18-015546-0050-201</t>
  </si>
  <si>
    <t xml:space="preserve">18-015546-0060-202</t>
  </si>
  <si>
    <t xml:space="preserve">18-015546-0060-203</t>
  </si>
  <si>
    <t xml:space="preserve">Forest Fire                                                                                Uncontrolled burning cause by hunters to make the perimeter for wildlife hunting ground.(January 7, 2023)</t>
  </si>
  <si>
    <t xml:space="preserve">Tito Ancheta</t>
  </si>
  <si>
    <t xml:space="preserve">18-015546-0050-205</t>
  </si>
  <si>
    <t xml:space="preserve">18-015546-0050-206</t>
  </si>
  <si>
    <t xml:space="preserve">Zenaida Liberato</t>
  </si>
  <si>
    <t xml:space="preserve">18-015546-0050-207</t>
  </si>
  <si>
    <t xml:space="preserve">40                                20                                             30                                     25                            35</t>
  </si>
  <si>
    <t xml:space="preserve">Forest Fire                                                                             cogon gathering (February 23,2019)                                     Escaped from nearby Private Land (February 20, 2020)                                                             Preparation of Grazing land (April 6, 2020)                                              Incediarism (April 7, 2021)                                               Cultivation, Pasture/Hunting (January 30-31, 2023)</t>
  </si>
  <si>
    <t xml:space="preserve">adopted</t>
  </si>
  <si>
    <t xml:space="preserve">Fraternal Order of Eagles</t>
  </si>
  <si>
    <t xml:space="preserve">Rudy Ramos Sr.</t>
  </si>
  <si>
    <t xml:space="preserve">18-015546-0050-208</t>
  </si>
  <si>
    <t xml:space="preserve">18-015546-0050-209</t>
  </si>
  <si>
    <t xml:space="preserve">February 29,2018</t>
  </si>
  <si>
    <t xml:space="preserve">Marcelo B. Cabico</t>
  </si>
  <si>
    <t xml:space="preserve">18-015546-0020-210</t>
  </si>
  <si>
    <t xml:space="preserve">Michael Carleone M. Cruz</t>
  </si>
  <si>
    <t xml:space="preserve">18-015546-0025-213</t>
  </si>
  <si>
    <t xml:space="preserve">Zenaida A. Liberato</t>
  </si>
  <si>
    <t xml:space="preserve">18-015546-0017-211</t>
  </si>
  <si>
    <t xml:space="preserve">COBF Site</t>
  </si>
  <si>
    <t xml:space="preserve">Romy L. Paay</t>
  </si>
  <si>
    <t xml:space="preserve">18-015546-0060-212</t>
  </si>
  <si>
    <t xml:space="preserve">20-015546-0015-101</t>
  </si>
  <si>
    <t xml:space="preserve">No need to fill out</t>
  </si>
  <si>
    <t xml:space="preserve">20-015546-0085-102</t>
  </si>
  <si>
    <t xml:space="preserve">Forest Fire                                                                          Unknown (February 4,2023)</t>
  </si>
  <si>
    <t xml:space="preserve">Fores Fire                                                                                          Honey gatherers.(February 4,2023)</t>
  </si>
  <si>
    <t xml:space="preserve">20-015546-0100-103</t>
  </si>
  <si>
    <t xml:space="preserve">Bued River Watershed</t>
  </si>
  <si>
    <t xml:space="preserve">20-015546-0030-104</t>
  </si>
  <si>
    <t xml:space="preserve">Raul Paluyo</t>
  </si>
  <si>
    <t xml:space="preserve">20-015546-0020-105</t>
  </si>
  <si>
    <t xml:space="preserve">20-015546-0020-106</t>
  </si>
  <si>
    <t xml:space="preserve">20-015546-0029-106</t>
  </si>
  <si>
    <t xml:space="preserve">Forest Fire                                                                                    Wild honey bee collector (March 6,2023)</t>
  </si>
  <si>
    <t xml:space="preserve">Rolando Apilado</t>
  </si>
  <si>
    <t xml:space="preserve">20-015546-0050-107</t>
  </si>
  <si>
    <t xml:space="preserve">20-015546-0050-108</t>
  </si>
  <si>
    <t xml:space="preserve">20-015546-0050-109</t>
  </si>
  <si>
    <t xml:space="preserve">20-015546-0025-110</t>
  </si>
  <si>
    <t xml:space="preserve">Fforest Fire                                                                         Hunting (February 16,2023)</t>
  </si>
  <si>
    <t xml:space="preserve">13                                             8</t>
  </si>
  <si>
    <t xml:space="preserve">Forest Fire                                                                                      Burning of grasses from adjacent riceland along Calunetan creek (December 28,2021  and January 25,2023)</t>
  </si>
  <si>
    <t xml:space="preserve">Forest Fire                                                                                  Wild honey collectors. February 5,2023</t>
  </si>
  <si>
    <t xml:space="preserve">Poles and Signages Cost</t>
  </si>
  <si>
    <t xml:space="preserve">LINK OF CONTRACTS (LAO/MOA</t>
  </si>
  <si>
    <t xml:space="preserve">SAMPLEA AREA (ha) 2011 TO DATE</t>
  </si>
  <si>
    <t xml:space="preserve">SAMPLE AREA (ha) 2023 continuing this 2024</t>
  </si>
  <si>
    <t xml:space="preserve">SAMPLE AREA (2025)</t>
  </si>
  <si>
    <t xml:space="preserve">YEAR TO BE INVENTORIED</t>
  </si>
  <si>
    <t xml:space="preserve">LATEST SURVIVAL RATE %</t>
  </si>
  <si>
    <t xml:space="preserve">No. of Seedling per hectares</t>
  </si>
  <si>
    <t xml:space="preserve">Spacing</t>
  </si>
  <si>
    <t xml:space="preserve">Annam</t>
  </si>
  <si>
    <t xml:space="preserve">11-015546-0134-0126</t>
  </si>
  <si>
    <t xml:space="preserve">Annam Reforestation Association in Pangasinan, Inc.</t>
  </si>
  <si>
    <t xml:space="preserve">Rodel Gallebo (formerly Danny Dariano)</t>
  </si>
  <si>
    <t xml:space="preserve">11-015546-0126-106</t>
  </si>
  <si>
    <t xml:space="preserve">Cacao,Coffee,Kasoy,Mahonagy,Nangka,Narra</t>
  </si>
  <si>
    <t xml:space="preserve">N/A</t>
  </si>
  <si>
    <t xml:space="preserve">Sufficiently Stocked</t>
  </si>
  <si>
    <t xml:space="preserve">Low Productivity</t>
  </si>
  <si>
    <t xml:space="preserve">Manglares Coastal Resources Management Foundation, Inc.</t>
  </si>
  <si>
    <t xml:space="preserve">Inmalog</t>
  </si>
  <si>
    <t xml:space="preserve">11-015546-0135-0025</t>
  </si>
  <si>
    <t xml:space="preserve">Bangol Canit Ibaloi Samahang Tribu sa Kaunlaran Association,Inc.</t>
  </si>
  <si>
    <t xml:space="preserve">Domingo Lapias</t>
  </si>
  <si>
    <t xml:space="preserve">11-015546-0026-107</t>
  </si>
  <si>
    <t xml:space="preserve">Coffee,Mahogany,Nangka,Narra</t>
  </si>
  <si>
    <t xml:space="preserve">Highly Stocked</t>
  </si>
  <si>
    <t xml:space="preserve">Sufficiently Productive</t>
  </si>
  <si>
    <t xml:space="preserve">11-015546-0136-0021</t>
  </si>
  <si>
    <t xml:space="preserve">Animo Tacnien Association, Inc.</t>
  </si>
  <si>
    <t xml:space="preserve">Alferdo Jaime (formerly Marlyn Ganigan)</t>
  </si>
  <si>
    <t xml:space="preserve">11-015546-0021-108</t>
  </si>
  <si>
    <t xml:space="preserve">Coffee,Duhat,Mahogany,Narra,Nangka</t>
  </si>
  <si>
    <t xml:space="preserve">20</t>
  </si>
  <si>
    <t xml:space="preserve">Forest Fire                                                          Unknown (May 5, 2012)</t>
  </si>
  <si>
    <t xml:space="preserve">11-015546-0137-0051</t>
  </si>
  <si>
    <t xml:space="preserve">Ruben Martinez (formerly Johnico Suyat)</t>
  </si>
  <si>
    <t xml:space="preserve">11-015546-0051-109</t>
  </si>
  <si>
    <t xml:space="preserve">HVFT,Fruit trees,Timber</t>
  </si>
  <si>
    <t xml:space="preserve">Alibangbang,Banaba,Cacao,Coffee,Eucalyptus,Gmelina,Guyabano,Kasoy,Mahogany,Nangka,Narra,Tamarind,Rain tree</t>
  </si>
  <si>
    <t xml:space="preserve">11-015546-0138-0060</t>
  </si>
  <si>
    <t xml:space="preserve">Kalahan Educational Foundation, Inc.</t>
  </si>
  <si>
    <t xml:space="preserve">Peter Dapig</t>
  </si>
  <si>
    <t xml:space="preserve">11-015546-0110-110</t>
  </si>
  <si>
    <t xml:space="preserve">Un-tenured</t>
  </si>
  <si>
    <t xml:space="preserve">Moderately Stocked</t>
  </si>
  <si>
    <t xml:space="preserve">11-015546-0139-0050</t>
  </si>
  <si>
    <t xml:space="preserve">Agroforesrtry</t>
  </si>
  <si>
    <t xml:space="preserve">Alnus,Coffee,Citrus,Tuai,Narra</t>
  </si>
  <si>
    <t xml:space="preserve">Very low Productivity</t>
  </si>
  <si>
    <t xml:space="preserve">San Bonifacio</t>
  </si>
  <si>
    <t xml:space="preserve">11-015546-0140-0050</t>
  </si>
  <si>
    <t xml:space="preserve">Lower Bomboaya Planters Irrigators Association, Inc.</t>
  </si>
  <si>
    <t xml:space="preserve">Mariano Casuga</t>
  </si>
  <si>
    <t xml:space="preserve">11-015546-0050-111</t>
  </si>
  <si>
    <t xml:space="preserve">Gmelina,Kasoy, Mahogany,Mango,Narra</t>
  </si>
  <si>
    <t xml:space="preserve">50                      19                                    15                                                                                          50                                       20</t>
  </si>
  <si>
    <t xml:space="preserve">Forest Fire                                                                             Culpit from Passersby (March 12,2014)             Adjacent P.L (Feb. 8, 2016)                          (March 20, 2019)                                                </t>
  </si>
  <si>
    <t xml:space="preserve">Society of Filipino Foresters,Inc.</t>
  </si>
  <si>
    <t xml:space="preserve">Very low Stocked</t>
  </si>
  <si>
    <t xml:space="preserve">11-015546-0141-0026</t>
  </si>
  <si>
    <t xml:space="preserve">Inmalog Highlands Farmers Association, Inc. (formerly Northern and Southern Inmalog Spring Association)</t>
  </si>
  <si>
    <t xml:space="preserve">Mary Jan F. Gaongen (formerly Albino Roman)</t>
  </si>
  <si>
    <t xml:space="preserve">11-015546-0025-112</t>
  </si>
  <si>
    <t xml:space="preserve">Coffee,Gmelina,Mahogany,Nangka,Narra</t>
  </si>
  <si>
    <t xml:space="preserve">11-015546-0142-0026</t>
  </si>
  <si>
    <t xml:space="preserve">San Antonio Management Association, Inc. (formerly Salingcob Village Association,Inc.)</t>
  </si>
  <si>
    <t xml:space="preserve">Loreto m. Doton (formerly Cesario Marquez)</t>
  </si>
  <si>
    <t xml:space="preserve">11-015546-0026-113</t>
  </si>
  <si>
    <t xml:space="preserve">Banaba,Bignai,Cacao,Coffee,Kasoy,Mahogany,Nangka,Narra</t>
  </si>
  <si>
    <t xml:space="preserve">Moderately Productive</t>
  </si>
  <si>
    <t xml:space="preserve">11-015546-0143-0005</t>
  </si>
  <si>
    <t xml:space="preserve">San Felipe Watershed Management  Association, Inc.</t>
  </si>
  <si>
    <t xml:space="preserve">Fernado Amarillo</t>
  </si>
  <si>
    <t xml:space="preserve">11-015546-0090-114</t>
  </si>
  <si>
    <t xml:space="preserve">Cacao,Coffee,Duhat,Kasoy</t>
  </si>
  <si>
    <t xml:space="preserve">11-015546-0144-0002</t>
  </si>
  <si>
    <t xml:space="preserve">Coffee</t>
  </si>
  <si>
    <t xml:space="preserve">11-015546-0145-0083</t>
  </si>
  <si>
    <t xml:space="preserve">Coffee,Fuelwood,Timber</t>
  </si>
  <si>
    <t xml:space="preserve">Alibangbang,Coffee,Fringon,Eucalyptus,Narra</t>
  </si>
  <si>
    <t xml:space="preserve">35                                          20</t>
  </si>
  <si>
    <t xml:space="preserve">Forest Fire                                                            Thrown cigarette butts ( January 17, 2013)                                          (February 14, 2018)</t>
  </si>
  <si>
    <t xml:space="preserve">11-015546-0146-0000</t>
  </si>
  <si>
    <t xml:space="preserve">Nativadad</t>
  </si>
  <si>
    <t xml:space="preserve">11-015546-0147-0050</t>
  </si>
  <si>
    <t xml:space="preserve">11-015546-0050-115</t>
  </si>
  <si>
    <t xml:space="preserve">Alibangbang,Coffee,Eucalyptus,Gmelina,Kasoy,Mahogany,Nangka,Narra</t>
  </si>
  <si>
    <t xml:space="preserve">12-015546-0289-0065</t>
  </si>
  <si>
    <t xml:space="preserve">Annam Reforestation Association in Pangasinan</t>
  </si>
  <si>
    <t xml:space="preserve">12-015546-0065-248</t>
  </si>
  <si>
    <t xml:space="preserve">Reforestarion</t>
  </si>
  <si>
    <t xml:space="preserve">12-015546-0290-0010</t>
  </si>
  <si>
    <t xml:space="preserve">12-015546-0010-249</t>
  </si>
  <si>
    <t xml:space="preserve">12-015546-0291-0051</t>
  </si>
  <si>
    <t xml:space="preserve">12-015546-0051-250</t>
  </si>
  <si>
    <t xml:space="preserve">Fuelwood,Timber</t>
  </si>
  <si>
    <t xml:space="preserve">Alibangbang,Narra</t>
  </si>
  <si>
    <t xml:space="preserve">12-015546-0292-0050</t>
  </si>
  <si>
    <t xml:space="preserve">Greener Environment for Maseil-seil, Inc.</t>
  </si>
  <si>
    <t xml:space="preserve">12-015546-0101-218</t>
  </si>
  <si>
    <t xml:space="preserve">50                                                                                                    20                       23                                36</t>
  </si>
  <si>
    <t xml:space="preserve">Forest Fire                                                                                        From A. L.  (Feb. 4,2014)                                                                Picnic Goers  (April 2, 2016)                                      </t>
  </si>
  <si>
    <t xml:space="preserve">Fernando S. Quesada</t>
  </si>
  <si>
    <t xml:space="preserve">Low Stocked</t>
  </si>
  <si>
    <t xml:space="preserve">12-015546-0293-0051</t>
  </si>
  <si>
    <t xml:space="preserve">Duhat,Kasoy,Mahogany,Narra</t>
  </si>
  <si>
    <t xml:space="preserve">Bantog</t>
  </si>
  <si>
    <t xml:space="preserve">Asingan</t>
  </si>
  <si>
    <t xml:space="preserve">12-015546-0295-0002</t>
  </si>
  <si>
    <t xml:space="preserve">LGU Asingan</t>
  </si>
  <si>
    <t xml:space="preserve">12-015546-0002-219</t>
  </si>
  <si>
    <t xml:space="preserve">Ipil-ipil,Mahogany</t>
  </si>
  <si>
    <t xml:space="preserve">San Andress</t>
  </si>
  <si>
    <t xml:space="preserve">12-015546-0296-0003</t>
  </si>
  <si>
    <t xml:space="preserve">LGU Balungao</t>
  </si>
  <si>
    <t xml:space="preserve">12-015546-0003-220</t>
  </si>
  <si>
    <t xml:space="preserve">Batchelor East</t>
  </si>
  <si>
    <t xml:space="preserve">12-015546-0297-0002</t>
  </si>
  <si>
    <t xml:space="preserve">LGU Natividad</t>
  </si>
  <si>
    <t xml:space="preserve">12-015546-0002-221</t>
  </si>
  <si>
    <t xml:space="preserve">1</t>
  </si>
  <si>
    <t xml:space="preserve">Forest Fire                                                                                   Unknown ( April 4,2015)</t>
  </si>
  <si>
    <t xml:space="preserve">Acop</t>
  </si>
  <si>
    <t xml:space="preserve">Rosales</t>
  </si>
  <si>
    <t xml:space="preserve">12-015546-0300-0000</t>
  </si>
  <si>
    <t xml:space="preserve">LGU Rosales</t>
  </si>
  <si>
    <t xml:space="preserve">12-015546-0000-222</t>
  </si>
  <si>
    <t xml:space="preserve">Sumabnit</t>
  </si>
  <si>
    <t xml:space="preserve">Binalonan</t>
  </si>
  <si>
    <t xml:space="preserve">12-015546-0301-0000</t>
  </si>
  <si>
    <t xml:space="preserve">LGU Binalonan</t>
  </si>
  <si>
    <t xml:space="preserve">12-015546-0002-223</t>
  </si>
  <si>
    <t xml:space="preserve">Mahogany</t>
  </si>
  <si>
    <t xml:space="preserve">Sta Maria</t>
  </si>
  <si>
    <t xml:space="preserve">12-015546-0302-0000</t>
  </si>
  <si>
    <t xml:space="preserve">Sta. Maria Elementary School and Sta. Maria National Highschool</t>
  </si>
  <si>
    <t xml:space="preserve">12-015546-0000-224</t>
  </si>
  <si>
    <t xml:space="preserve">Gmelina,Mahogany,Narra</t>
  </si>
  <si>
    <t xml:space="preserve">Pasileng</t>
  </si>
  <si>
    <t xml:space="preserve">12-015546-0303-0000</t>
  </si>
  <si>
    <t xml:space="preserve">Pasileng Elementary School</t>
  </si>
  <si>
    <t xml:space="preserve">Atis,Mahogany</t>
  </si>
  <si>
    <t xml:space="preserve">Highly Productive</t>
  </si>
  <si>
    <t xml:space="preserve">Mangkasoy</t>
  </si>
  <si>
    <t xml:space="preserve">12-015546-0304-0001</t>
  </si>
  <si>
    <t xml:space="preserve">Mangkasuy Binalonan</t>
  </si>
  <si>
    <t xml:space="preserve">Fruit trees,Cacao,Timber</t>
  </si>
  <si>
    <t xml:space="preserve">Atis,Cacao,Narra</t>
  </si>
  <si>
    <t xml:space="preserve">Balangobong</t>
  </si>
  <si>
    <t xml:space="preserve">12-015546-0305-0002</t>
  </si>
  <si>
    <t xml:space="preserve">Balangobong Elementary School and Balangobong National High School</t>
  </si>
  <si>
    <t xml:space="preserve">Haway</t>
  </si>
  <si>
    <t xml:space="preserve">Pozorubbio</t>
  </si>
  <si>
    <t xml:space="preserve">12-015546-0306-0002</t>
  </si>
  <si>
    <t xml:space="preserve">Haway Elementary School</t>
  </si>
  <si>
    <t xml:space="preserve">12-015546-0002-225</t>
  </si>
  <si>
    <t xml:space="preserve">Narra,Mahogany</t>
  </si>
  <si>
    <t xml:space="preserve">Maambal</t>
  </si>
  <si>
    <t xml:space="preserve">12-015546-0307-0000</t>
  </si>
  <si>
    <t xml:space="preserve">Maambal,Pozzorobio,Pangasinan</t>
  </si>
  <si>
    <t xml:space="preserve">Gmelina,Narra,Mahogany</t>
  </si>
  <si>
    <t xml:space="preserve">12-015546-0308-0003</t>
  </si>
  <si>
    <t xml:space="preserve">12-015546-0003-226</t>
  </si>
  <si>
    <t xml:space="preserve">Gueset Norte</t>
  </si>
  <si>
    <t xml:space="preserve">12-015546-0309-0000</t>
  </si>
  <si>
    <t xml:space="preserve">LGU San Manuel</t>
  </si>
  <si>
    <t xml:space="preserve">12-015546-0002-227</t>
  </si>
  <si>
    <t xml:space="preserve">12-015546-0310-0002</t>
  </si>
  <si>
    <t xml:space="preserve">Bomboaya San Manuel</t>
  </si>
  <si>
    <t xml:space="preserve">Kasaratan</t>
  </si>
  <si>
    <t xml:space="preserve">12-015546-0311-0001</t>
  </si>
  <si>
    <t xml:space="preserve">LGU San Nicolas</t>
  </si>
  <si>
    <t xml:space="preserve">12-015546-0001-228</t>
  </si>
  <si>
    <t xml:space="preserve">Banaba,Narra,Rain tree</t>
  </si>
  <si>
    <t xml:space="preserve">12-015546-0312-0000</t>
  </si>
  <si>
    <t xml:space="preserve">Poblacion</t>
  </si>
  <si>
    <t xml:space="preserve">12-015546-0313-0000</t>
  </si>
  <si>
    <t xml:space="preserve">12-015546-0314-0000</t>
  </si>
  <si>
    <t xml:space="preserve">12-015546-0315-0001</t>
  </si>
  <si>
    <t xml:space="preserve">LGU San Quintin</t>
  </si>
  <si>
    <t xml:space="preserve">12-015546-0001-229</t>
  </si>
  <si>
    <t xml:space="preserve">3</t>
  </si>
  <si>
    <t xml:space="preserve">Forest Fire                                                          Charcoal making (February 23, 2017)</t>
  </si>
  <si>
    <t xml:space="preserve">12-015546-0316-0000</t>
  </si>
  <si>
    <t xml:space="preserve">12-015546-0317-0000</t>
  </si>
  <si>
    <t xml:space="preserve">12-015546-0000-230</t>
  </si>
  <si>
    <t xml:space="preserve">Paitan</t>
  </si>
  <si>
    <t xml:space="preserve">Sta. Maria</t>
  </si>
  <si>
    <t xml:space="preserve">12-015546-0318-0000</t>
  </si>
  <si>
    <t xml:space="preserve">12-015546-0002-231</t>
  </si>
  <si>
    <t xml:space="preserve">Sta Rosa</t>
  </si>
  <si>
    <t xml:space="preserve">12-015546-0319-0002</t>
  </si>
  <si>
    <t xml:space="preserve">Camangaan</t>
  </si>
  <si>
    <t xml:space="preserve">12-015546-0320-0000</t>
  </si>
  <si>
    <t xml:space="preserve">MRF Dumpsite</t>
  </si>
  <si>
    <t xml:space="preserve">12-015546-0000-232</t>
  </si>
  <si>
    <t xml:space="preserve">Diaz</t>
  </si>
  <si>
    <t xml:space="preserve">-</t>
  </si>
  <si>
    <t xml:space="preserve">12-015546-0321-0004</t>
  </si>
  <si>
    <t xml:space="preserve">LGU Umingan</t>
  </si>
  <si>
    <t xml:space="preserve">12-015546-0005-233</t>
  </si>
  <si>
    <t xml:space="preserve">12-015546-0322-0001</t>
  </si>
  <si>
    <t xml:space="preserve">Casaratan</t>
  </si>
  <si>
    <t xml:space="preserve">12-015546-0324-0000</t>
  </si>
  <si>
    <t xml:space="preserve">12-015546-0001-234</t>
  </si>
  <si>
    <t xml:space="preserve">12-015546-0325-0001</t>
  </si>
  <si>
    <t xml:space="preserve">12-015546-0326-0001</t>
  </si>
  <si>
    <t xml:space="preserve">12-015546-0001-235</t>
  </si>
  <si>
    <t xml:space="preserve">Magallanes</t>
  </si>
  <si>
    <t xml:space="preserve">Tayug</t>
  </si>
  <si>
    <t xml:space="preserve">12-015546-0327-0002</t>
  </si>
  <si>
    <t xml:space="preserve">LGU Tayug</t>
  </si>
  <si>
    <t xml:space="preserve">12-015546-0002-236</t>
  </si>
  <si>
    <t xml:space="preserve">Spark of Binga and Amboklao transmission line</t>
  </si>
  <si>
    <t xml:space="preserve">Sta. Rosa</t>
  </si>
  <si>
    <t xml:space="preserve">12-015546-0329-0002</t>
  </si>
  <si>
    <t xml:space="preserve">LGU Santa Maria</t>
  </si>
  <si>
    <t xml:space="preserve">12-015546-0002-237</t>
  </si>
  <si>
    <t xml:space="preserve">Catablan</t>
  </si>
  <si>
    <t xml:space="preserve">12-015546-0331-0000</t>
  </si>
  <si>
    <t xml:space="preserve">12-015546-0000-238</t>
  </si>
  <si>
    <t xml:space="preserve">12-015546-0333-0000</t>
  </si>
  <si>
    <t xml:space="preserve">Catablan Integrated School</t>
  </si>
  <si>
    <t xml:space="preserve">12-015546-0000-239</t>
  </si>
  <si>
    <t xml:space="preserve">12-015546-0338-0000</t>
  </si>
  <si>
    <t xml:space="preserve">CALEGU Elementary School</t>
  </si>
  <si>
    <t xml:space="preserve">12-015546-0000-240</t>
  </si>
  <si>
    <t xml:space="preserve">Puelay</t>
  </si>
  <si>
    <t xml:space="preserve">Villasis</t>
  </si>
  <si>
    <t xml:space="preserve">Agno River Basin, Toboy-Tacnien River Watershed</t>
  </si>
  <si>
    <t xml:space="preserve">12-015546-0339-0000</t>
  </si>
  <si>
    <t xml:space="preserve">Barangay Council of Puelay</t>
  </si>
  <si>
    <t xml:space="preserve">12-015546-0001-241</t>
  </si>
  <si>
    <t xml:space="preserve">Banaba,Narra,Mahogany</t>
  </si>
  <si>
    <t xml:space="preserve">12-015546-0340-0000</t>
  </si>
  <si>
    <t xml:space="preserve">Barangay Council of Lipay</t>
  </si>
  <si>
    <t xml:space="preserve">12-015546-0001-242</t>
  </si>
  <si>
    <t xml:space="preserve">12-015546-0341-0000</t>
  </si>
  <si>
    <t xml:space="preserve">12-015546-0342-0000</t>
  </si>
  <si>
    <t xml:space="preserve">Bomboaya</t>
  </si>
  <si>
    <t xml:space="preserve">12-015546-0343-0050</t>
  </si>
  <si>
    <t xml:space="preserve">12-015546-0109-243</t>
  </si>
  <si>
    <t xml:space="preserve">Gmelina,Kasoy,Narra</t>
  </si>
  <si>
    <t xml:space="preserve">40 (MERGE W/ 344)                                                                                                     50                    8                          50</t>
  </si>
  <si>
    <t xml:space="preserve">Forest Fire                                                                       Culprit from passersby (February 18, 2014)                                                            Careless passersby(February 8, 2016)                                   </t>
  </si>
  <si>
    <t xml:space="preserve">12-015546-0344-0050</t>
  </si>
  <si>
    <t xml:space="preserve">Fruit trees,Fuelwood,Timber</t>
  </si>
  <si>
    <t xml:space="preserve">Alibangbang,Bignai,Gmelina,Kamagong,Kasoy,Narra</t>
  </si>
  <si>
    <t xml:space="preserve">40 (MERGE W/ 343)                                                                27.17                                    9                                     59</t>
  </si>
  <si>
    <t xml:space="preserve">Forest Fire                                                                         Culprit from passersby (February 18, 2014)                        Adjacent P.L (Feb. 8, 2016 )                                                       Accedental (February 1</t>
  </si>
  <si>
    <t xml:space="preserve">12-015546-0345-0023</t>
  </si>
  <si>
    <t xml:space="preserve">Samahang Masa ng San Eugenio Natividad Association, Inc.</t>
  </si>
  <si>
    <t xml:space="preserve">Fernando Ilasin (formerly Danilo Fabros)</t>
  </si>
  <si>
    <t xml:space="preserve">12-015546-0075-244</t>
  </si>
  <si>
    <t xml:space="preserve">Coffee,Duhat,Gmelina,Kasoy,Nangka,Narra,Mahogany</t>
  </si>
  <si>
    <t xml:space="preserve">12-015546-0346-0052</t>
  </si>
  <si>
    <t xml:space="preserve">43                              40                                      10                                 52</t>
  </si>
  <si>
    <t xml:space="preserve">Forest Fire                                                                     Hunting(February 6, 2013)                                                         Hunting  (January 8,2015)                                                   Hunting  (April 3</t>
  </si>
  <si>
    <t xml:space="preserve">12-015546-0347-0114</t>
  </si>
  <si>
    <t xml:space="preserve">12-015546-0162-245</t>
  </si>
  <si>
    <t xml:space="preserve">Alibangbang,Eucalyptus,Narra</t>
  </si>
  <si>
    <t xml:space="preserve">(8 merge w/ 348)                                      20</t>
  </si>
  <si>
    <t xml:space="preserve">Forest Fire                                                      Preparation of Farmland (February 6,2013)                                                                    (February 18,2018)</t>
  </si>
  <si>
    <t xml:space="preserve">San Felipe</t>
  </si>
  <si>
    <t xml:space="preserve">12-015546-0348-0048</t>
  </si>
  <si>
    <t xml:space="preserve">Coffee,Duhat,Guyabano,Kasoy,Nangka</t>
  </si>
  <si>
    <t xml:space="preserve">(8 merge w/ 347)</t>
  </si>
  <si>
    <t xml:space="preserve">12-015546-0349-0116</t>
  </si>
  <si>
    <t xml:space="preserve">San Nicolas Tree Farmers Association, Inc.</t>
  </si>
  <si>
    <t xml:space="preserve">12-015546-0116-246</t>
  </si>
  <si>
    <t xml:space="preserve">Alibangbang,Gmelina,Narra</t>
  </si>
  <si>
    <t xml:space="preserve">50</t>
  </si>
  <si>
    <t xml:space="preserve">Fire occurrence-( March 2,2019)</t>
  </si>
  <si>
    <t xml:space="preserve">Society of Filipino Foresters Incorporated (only 4. has was adopted</t>
  </si>
  <si>
    <t xml:space="preserve">12-015546-0350-0052</t>
  </si>
  <si>
    <t xml:space="preserve">Waeg Pamayor Calitlitan Irrigators Association, Inc.</t>
  </si>
  <si>
    <t xml:space="preserve">Dominador Sarmiento</t>
  </si>
  <si>
    <t xml:space="preserve">12-015546-0052-247</t>
  </si>
  <si>
    <t xml:space="preserve">50                                                                        50                                                                                                                                                                      30           </t>
  </si>
  <si>
    <t xml:space="preserve">Forest Fire                                                               Hunting ( February 6, 2013)                                             From A.L. (Feb. 4, 2014)                                                       Picnic Goers (April 2, 2016)  </t>
  </si>
  <si>
    <t xml:space="preserve">13-015546-0312-0042</t>
  </si>
  <si>
    <t xml:space="preserve">Alibeng Bel-bel Upland Farmers Association Inc. (formerly Sison Alibeng Communal Irrigators Association)</t>
  </si>
  <si>
    <t xml:space="preserve"> Renerio S. Ingean Jr. (formerly Nicandro Bautista)</t>
  </si>
  <si>
    <t xml:space="preserve">13-015546-0117-213</t>
  </si>
  <si>
    <t xml:space="preserve">13-015546-0313-0075</t>
  </si>
  <si>
    <t xml:space="preserve">Fuelwood</t>
  </si>
  <si>
    <t xml:space="preserve">Ipil-ipil,Kakawate</t>
  </si>
  <si>
    <t xml:space="preserve">39</t>
  </si>
  <si>
    <t xml:space="preserve">Forest Fire                                                                 Larvae collection (April 7, 2017)</t>
  </si>
  <si>
    <t xml:space="preserve">Ricos</t>
  </si>
  <si>
    <t xml:space="preserve">13-015546-0314-0020</t>
  </si>
  <si>
    <t xml:space="preserve">Annam Reforestation Association in Pangasinan Inc.</t>
  </si>
  <si>
    <t xml:space="preserve">13-015546-0020-214</t>
  </si>
  <si>
    <t xml:space="preserve">Fulewood</t>
  </si>
  <si>
    <t xml:space="preserve">Banaba,Ilang-ilang</t>
  </si>
  <si>
    <t xml:space="preserve">Kita-kita</t>
  </si>
  <si>
    <t xml:space="preserve">13-015546-0315-0050</t>
  </si>
  <si>
    <t xml:space="preserve">Kita-kita Balungao Upland Farmers Association, Inc</t>
  </si>
  <si>
    <t xml:space="preserve">Willy Dino</t>
  </si>
  <si>
    <t xml:space="preserve">13-015546-0050-215</t>
  </si>
  <si>
    <t xml:space="preserve">Avocado,Duhat,Nangka</t>
  </si>
  <si>
    <t xml:space="preserve">13-015546-0316-0010</t>
  </si>
  <si>
    <t xml:space="preserve">13-015546-0010-216</t>
  </si>
  <si>
    <t xml:space="preserve">13-015546-0317-0044</t>
  </si>
  <si>
    <t xml:space="preserve">13-015546-0064-217</t>
  </si>
  <si>
    <t xml:space="preserve">Duhat</t>
  </si>
  <si>
    <t xml:space="preserve">Mr. Alain Jerico S. Perez</t>
  </si>
  <si>
    <t xml:space="preserve">13-015546-0318-0050</t>
  </si>
  <si>
    <t xml:space="preserve">Mabini San Andres Balungao Hilltop Developers Association, Inc.</t>
  </si>
  <si>
    <t xml:space="preserve">Cirilo Cabanada</t>
  </si>
  <si>
    <t xml:space="preserve">13-015546-0050-218</t>
  </si>
  <si>
    <t xml:space="preserve">Cacao</t>
  </si>
  <si>
    <t xml:space="preserve">Pugaro</t>
  </si>
  <si>
    <t xml:space="preserve">13-015546-0319-0045</t>
  </si>
  <si>
    <t xml:space="preserve">Mount Balungao Tree Farmers Association, Inc.</t>
  </si>
  <si>
    <t xml:space="preserve">Ricardo Guerzo</t>
  </si>
  <si>
    <t xml:space="preserve">13-015546-0062-219</t>
  </si>
  <si>
    <t xml:space="preserve">13-015546-0320-0017</t>
  </si>
  <si>
    <t xml:space="preserve">Sta.Maria</t>
  </si>
  <si>
    <t xml:space="preserve">13-015546-0321-0001</t>
  </si>
  <si>
    <t xml:space="preserve">Paitan Multi-purpose Cooperative</t>
  </si>
  <si>
    <t xml:space="preserve">Toribio Riola</t>
  </si>
  <si>
    <t xml:space="preserve">13-015546-0006-220</t>
  </si>
  <si>
    <t xml:space="preserve">13-015546-0322-0004</t>
  </si>
  <si>
    <t xml:space="preserve">13-015546-0323-0004</t>
  </si>
  <si>
    <t xml:space="preserve">13-015546-0324-0001</t>
  </si>
  <si>
    <t xml:space="preserve">Labayug</t>
  </si>
  <si>
    <t xml:space="preserve">13-015546-0325-0075</t>
  </si>
  <si>
    <t xml:space="preserve">Labayug Mountain Base Agro-Forestry Association, Inc.</t>
  </si>
  <si>
    <t xml:space="preserve">Ismael Agyapas</t>
  </si>
  <si>
    <t xml:space="preserve">13-015546-0075-221</t>
  </si>
  <si>
    <t xml:space="preserve">Ipil-ipil</t>
  </si>
  <si>
    <t xml:space="preserve">13-015546-0326-0100</t>
  </si>
  <si>
    <t xml:space="preserve">Alfredo Jaime (formerly Benjamin Leo Ganaden)</t>
  </si>
  <si>
    <t xml:space="preserve">13-015546-0100-222</t>
  </si>
  <si>
    <t xml:space="preserve">100                                                                                                62</t>
  </si>
  <si>
    <t xml:space="preserve">Forest Fire                                                          Unknown (February 19, 2014)                                       (February 3,2019)</t>
  </si>
  <si>
    <t xml:space="preserve">13-015546-0327-0020</t>
  </si>
  <si>
    <t xml:space="preserve">Urban</t>
  </si>
  <si>
    <t xml:space="preserve">Ilang ilang,Banaba</t>
  </si>
  <si>
    <t xml:space="preserve">62                                   20</t>
  </si>
  <si>
    <t xml:space="preserve">Forest Fire                                                                                 Hunting (Febuary 03,2019                                                             Spark of Binga and Ambuklao transmission line (February 18,2020)</t>
  </si>
  <si>
    <t xml:space="preserve">13-015546-0328-0050</t>
  </si>
  <si>
    <t xml:space="preserve">13-015546-0050-223</t>
  </si>
  <si>
    <t xml:space="preserve">50                                                                             15                                                                    30</t>
  </si>
  <si>
    <t xml:space="preserve">Forest Fire                                                                                  Hunting (January 8, 2015)                                                             Hunting (April 3, 20216)                                                 Hun</t>
  </si>
  <si>
    <t xml:space="preserve">13-015546-0329-0090</t>
  </si>
  <si>
    <t xml:space="preserve">13-015546-0090-224</t>
  </si>
  <si>
    <t xml:space="preserve">13-015546-0330-0005</t>
  </si>
  <si>
    <t xml:space="preserve">13-015546-0005-225</t>
  </si>
  <si>
    <t xml:space="preserve">13-015546-0331-0100</t>
  </si>
  <si>
    <t xml:space="preserve">13-015546-0100-226</t>
  </si>
  <si>
    <t xml:space="preserve">50                                   19</t>
  </si>
  <si>
    <t xml:space="preserve">Forest Fire                                                                               Burning of grasses from adjacent riceland along Calunetan creek (March 10,2019)                                     Burning of grasses from adjacent riceland  (Janua</t>
  </si>
  <si>
    <t xml:space="preserve">13-015546-0332-0025</t>
  </si>
  <si>
    <t xml:space="preserve">13-015546-0025-227</t>
  </si>
  <si>
    <t xml:space="preserve">19</t>
  </si>
  <si>
    <t xml:space="preserve">Forest Fire                                                                                    Burning of Grasses from adjacent Rice land along the Calunetan creek (January 25-26, 2023)</t>
  </si>
  <si>
    <t xml:space="preserve">13-015546-0333-0050</t>
  </si>
  <si>
    <t xml:space="preserve">Ubbog ti Daya Multi-purpose Cooperative</t>
  </si>
  <si>
    <t xml:space="preserve">13-015546-0290-228</t>
  </si>
  <si>
    <t xml:space="preserve">Ubbog Ti Daya Multi-Purpose Cooperative</t>
  </si>
  <si>
    <t xml:space="preserve">13-015546-0334-0200</t>
  </si>
  <si>
    <t xml:space="preserve">13-015546-0335-0161</t>
  </si>
  <si>
    <t xml:space="preserve">Cabalisian Tree Planters Association, Inc.</t>
  </si>
  <si>
    <t xml:space="preserve">13-015546-0161-229</t>
  </si>
  <si>
    <t xml:space="preserve">Malico Agroforestery Development corporation (121 ha. only)</t>
  </si>
  <si>
    <t xml:space="preserve">13-015546-0336-0040</t>
  </si>
  <si>
    <t xml:space="preserve">Fringon,Ipil-ipil</t>
  </si>
  <si>
    <t xml:space="preserve">13-015546-0337-0110</t>
  </si>
  <si>
    <t xml:space="preserve">The Guardians Brotherhood,Inc.</t>
  </si>
  <si>
    <t xml:space="preserve">Teddy Garcia</t>
  </si>
  <si>
    <t xml:space="preserve">13-015546-0110-230</t>
  </si>
  <si>
    <t xml:space="preserve">                                                                                                                                       80
                                                                                                                     </t>
  </si>
  <si>
    <t xml:space="preserve">Fores Fire                                                                                                 Incendiary (Feb. 17, 2015)                                                       Charcoal making &amp; Cogon gathering                   Hunting/Charcoa</t>
  </si>
  <si>
    <t xml:space="preserve">Forest Knights Association</t>
  </si>
  <si>
    <t xml:space="preserve">13-015546-0338-0010</t>
  </si>
  <si>
    <t xml:space="preserve">13-015546-0085-231</t>
  </si>
  <si>
    <t xml:space="preserve">Skills Development Learning Advancement Inc.</t>
  </si>
  <si>
    <t xml:space="preserve">13-015546-0339-0025</t>
  </si>
  <si>
    <t xml:space="preserve">25                              15</t>
  </si>
  <si>
    <t xml:space="preserve">Forest Fire                                                          Incendiarism (January 8, 2015)                                                 Hunting (January 2,2022)</t>
  </si>
  <si>
    <t xml:space="preserve">13-015546-0340-0050</t>
  </si>
  <si>
    <t xml:space="preserve">50                               20                         30</t>
  </si>
  <si>
    <t xml:space="preserve">Forest Fire                                                                                 Hunting (January 8, 2015)                                             Hunting(April 3, 2016)                                                          Hunting(Janua</t>
  </si>
  <si>
    <t xml:space="preserve">14-015546-0161-0100</t>
  </si>
  <si>
    <t xml:space="preserve">14-015546-0100-091</t>
  </si>
  <si>
    <t xml:space="preserve">Fringon,Gmelina,Kakawate,Ipil-ipil</t>
  </si>
  <si>
    <t xml:space="preserve">81.3</t>
  </si>
  <si>
    <t xml:space="preserve">Forest Fire                                                 Unknown ( April 17, 2015)</t>
  </si>
  <si>
    <t xml:space="preserve">14-015546-0162-0060</t>
  </si>
  <si>
    <t xml:space="preserve">Fianza Tree Planters Association, Inc.</t>
  </si>
  <si>
    <t xml:space="preserve">Mario Suyat</t>
  </si>
  <si>
    <t xml:space="preserve">14-015546-0060-092</t>
  </si>
  <si>
    <t xml:space="preserve">Ubbog ti Daya MPC</t>
  </si>
  <si>
    <t xml:space="preserve">14-015546-0163-0170</t>
  </si>
  <si>
    <t xml:space="preserve">I-Owak Tribe Earth Savers Association, Inc.</t>
  </si>
  <si>
    <t xml:space="preserve">14-015546-0170-093</t>
  </si>
  <si>
    <t xml:space="preserve">Anchoan dilaw,Gmelina,Ipil-ipil,Kakawate</t>
  </si>
  <si>
    <t xml:space="preserve">100</t>
  </si>
  <si>
    <t xml:space="preserve">Forest Fire                                                 Unknown ( March 7, 2022)</t>
  </si>
  <si>
    <t xml:space="preserve">CADCT</t>
  </si>
  <si>
    <t xml:space="preserve">14-015546-0164-0130</t>
  </si>
  <si>
    <t xml:space="preserve">Malico Indigenous People's Development Organization Inc.</t>
  </si>
  <si>
    <t xml:space="preserve">14-015546-0130-094</t>
  </si>
  <si>
    <t xml:space="preserve">Gmelina,Ipil-ipil,Kakawate,Rain tree</t>
  </si>
  <si>
    <t xml:space="preserve">14-015546-0165-0100</t>
  </si>
  <si>
    <t xml:space="preserve">14-015546-0100-095</t>
  </si>
  <si>
    <t xml:space="preserve">Fringon</t>
  </si>
  <si>
    <t xml:space="preserve">Fire Occurrence( March 10,2019)</t>
  </si>
  <si>
    <t xml:space="preserve">14-015546-0166-0100</t>
  </si>
  <si>
    <t xml:space="preserve">Salpad Forest Workers Association, Inc.</t>
  </si>
  <si>
    <t xml:space="preserve">14-015546-0100-096</t>
  </si>
  <si>
    <t xml:space="preserve">Fringon,Ipil-ipil,Kakawate</t>
  </si>
  <si>
    <t xml:space="preserve">50                          50                                  120                                 100</t>
  </si>
  <si>
    <t xml:space="preserve">Forest Fire                                                                   Adjacent ricefield (January 27, 2016)                                    March 6,2019                                                                   Incediarism(May 16-17, 20</t>
  </si>
  <si>
    <t xml:space="preserve">14-015546-0167-0305</t>
  </si>
  <si>
    <t xml:space="preserve">14-015546-0305-097</t>
  </si>
  <si>
    <t xml:space="preserve">14-015546-0168-0230</t>
  </si>
  <si>
    <t xml:space="preserve">Malico Indigenous Peoples Development Organization Inc.</t>
  </si>
  <si>
    <t xml:space="preserve">14-015546-0230-098</t>
  </si>
  <si>
    <t xml:space="preserve">Benguet pine,Gmelina,Narra</t>
  </si>
  <si>
    <t xml:space="preserve">Forest Fire                                                                   Unknown (March 7, 2022)</t>
  </si>
  <si>
    <t xml:space="preserve">14-015546-0169-0165</t>
  </si>
  <si>
    <t xml:space="preserve">14-015546-0165-099</t>
  </si>
  <si>
    <t xml:space="preserve">Eucalyptus,Narra</t>
  </si>
  <si>
    <t xml:space="preserve">14-015546-0170-0050</t>
  </si>
  <si>
    <t xml:space="preserve">14-015546-0050-100</t>
  </si>
  <si>
    <t xml:space="preserve">Bayabas,Duhat,Guyabano,Tamarind</t>
  </si>
  <si>
    <t xml:space="preserve">30                                      20</t>
  </si>
  <si>
    <t xml:space="preserve">Forest Fire                                                                                              wild honey bee collectors -May 16-17,2021                     Unknown (March 4,2023)</t>
  </si>
  <si>
    <t xml:space="preserve">14-015546-0171-0060</t>
  </si>
  <si>
    <t xml:space="preserve">14-015546-0060-101</t>
  </si>
  <si>
    <t xml:space="preserve">14-015546-0172-0050</t>
  </si>
  <si>
    <t xml:space="preserve">14-015546-0050-102</t>
  </si>
  <si>
    <t xml:space="preserve">Alnus,Citrus,Coffee,Guyabano,Kaimito,Nangka,Narra,Mango,Pomelo,Rambutan</t>
  </si>
  <si>
    <t xml:space="preserve">Puyao Forest Workers Association</t>
  </si>
  <si>
    <t xml:space="preserve">14-015546-0173-0050</t>
  </si>
  <si>
    <t xml:space="preserve">14-015546-0050-103</t>
  </si>
  <si>
    <t xml:space="preserve">14-015546-0174-0050</t>
  </si>
  <si>
    <t xml:space="preserve">The Guardians Brotherhood ,Inc.</t>
  </si>
  <si>
    <t xml:space="preserve">14-015546-0100-104</t>
  </si>
  <si>
    <t xml:space="preserve">Fuelwood,Narra</t>
  </si>
  <si>
    <t xml:space="preserve">Alibangbang,Fringon,Gmelina,Ipil-ipil,Kakawate,Narra</t>
  </si>
  <si>
    <t xml:space="preserve">45                                                       35                                                         35                           40                                    29.50                               35</t>
  </si>
  <si>
    <t xml:space="preserve">Fire occurrence                                                      Incendiary (Feb. 17,2015)                                                                       Hunting (February 23,2017)                                                January 19,2019,</t>
  </si>
  <si>
    <t xml:space="preserve">14-015546-0175-0050</t>
  </si>
  <si>
    <t xml:space="preserve">Cacao,Fruit trees</t>
  </si>
  <si>
    <t xml:space="preserve">Cacao,Duhat,Guyabano,Kasoy,Nangka,Mango,Santol,Tamarind</t>
  </si>
  <si>
    <t xml:space="preserve">10                     40</t>
  </si>
  <si>
    <t xml:space="preserve">Forest Fire                                                                               Escape from clearing and adjacent farmland (February 22, 2020)                                                                                                      R</t>
  </si>
  <si>
    <t xml:space="preserve">14-015546-0176-0058</t>
  </si>
  <si>
    <t xml:space="preserve">Pangasinan Coffee Growers Association, Inc.</t>
  </si>
  <si>
    <t xml:space="preserve">14-015546-0058-105</t>
  </si>
  <si>
    <t xml:space="preserve">14-015546-0177-0100</t>
  </si>
  <si>
    <t xml:space="preserve">14-015546-0100-106</t>
  </si>
  <si>
    <t xml:space="preserve">Fuewood,Timber</t>
  </si>
  <si>
    <t xml:space="preserve">Kakawate,Ipil-ipil,Rain tree</t>
  </si>
  <si>
    <t xml:space="preserve">15-015546-0162-0050</t>
  </si>
  <si>
    <t xml:space="preserve">Barangay Council of Salud</t>
  </si>
  <si>
    <t xml:space="preserve">Zaldy Collado</t>
  </si>
  <si>
    <t xml:space="preserve">15-015546-0050-135</t>
  </si>
  <si>
    <t xml:space="preserve">Duhat,Tamarind</t>
  </si>
  <si>
    <t xml:space="preserve">35</t>
  </si>
  <si>
    <t xml:space="preserve">Forest Fire                                                                         Hunting (February 23, 2017)</t>
  </si>
  <si>
    <t xml:space="preserve">15-015546-0163-0200</t>
  </si>
  <si>
    <t xml:space="preserve">15-015546-0500-136</t>
  </si>
  <si>
    <t xml:space="preserve">15-015546-0164-0200</t>
  </si>
  <si>
    <t xml:space="preserve">Eucalyptus,Fringon,Gmelina,Ipil-ipil,Kakawate</t>
  </si>
  <si>
    <t xml:space="preserve">15-015546-0165-0100</t>
  </si>
  <si>
    <t xml:space="preserve">50                               100</t>
  </si>
  <si>
    <t xml:space="preserve">Forest Fire                                                                                            Escaped fire from suspected thrown cigarette from hunters (March 30,2019)                                                                              H</t>
  </si>
  <si>
    <t xml:space="preserve">15-015546-0166-0365</t>
  </si>
  <si>
    <t xml:space="preserve">15-015546-0906-137</t>
  </si>
  <si>
    <t xml:space="preserve">Alnus,Gmelina,Narra</t>
  </si>
  <si>
    <t xml:space="preserve">                                                                                  25
 100</t>
  </si>
  <si>
    <t xml:space="preserve">Forest Fire                                                                             March 02,2019                                                            Unknown (March 7,2022)</t>
  </si>
  <si>
    <t xml:space="preserve">15-015546-0167-0132</t>
  </si>
  <si>
    <t xml:space="preserve">Alnus,Narra</t>
  </si>
  <si>
    <t xml:space="preserve">15-015546-0168-0409</t>
  </si>
  <si>
    <t xml:space="preserve">Alnus,Gmelina,Ipil-ipil,Narra</t>
  </si>
  <si>
    <t xml:space="preserve">30
 8</t>
  </si>
  <si>
    <t xml:space="preserve">ForestFire
Unidentified passersby (January 30,2023)                      (February 23,2019)</t>
  </si>
  <si>
    <t xml:space="preserve">Tenured/ Adopted</t>
  </si>
  <si>
    <t xml:space="preserve">CADT,Society of Filipino Foresters,Inc.</t>
  </si>
  <si>
    <t xml:space="preserve">15-015546-0169-0190</t>
  </si>
  <si>
    <t xml:space="preserve">15-015546-0190-138</t>
  </si>
  <si>
    <t xml:space="preserve">Alibangbang,Eucalyptus,Fringon,Ipil-ipil,Narra</t>
  </si>
  <si>
    <t xml:space="preserve">90</t>
  </si>
  <si>
    <t xml:space="preserve">Fire-alleged from honey gathering ( April 30,2019)</t>
  </si>
  <si>
    <t xml:space="preserve">15-015546-0170-0101</t>
  </si>
  <si>
    <t xml:space="preserve">15-015546-0101-139</t>
  </si>
  <si>
    <t xml:space="preserve">Barangay Calunetan Farmers Irrigators Association Inc.</t>
  </si>
  <si>
    <t xml:space="preserve">15-015546-0171-0050</t>
  </si>
  <si>
    <t xml:space="preserve">15-015546-0050-140</t>
  </si>
  <si>
    <t xml:space="preserve">Rain tree</t>
  </si>
  <si>
    <t xml:space="preserve">Samon</t>
  </si>
  <si>
    <t xml:space="preserve">15-015546-0172-0050</t>
  </si>
  <si>
    <t xml:space="preserve">Local Government Unit of Santa Maria</t>
  </si>
  <si>
    <t xml:space="preserve">Teodoro A. Ramos</t>
  </si>
  <si>
    <t xml:space="preserve">15-015546-0050-141</t>
  </si>
  <si>
    <t xml:space="preserve">25</t>
  </si>
  <si>
    <t xml:space="preserve">Fire occurrence( March 3,2018)</t>
  </si>
  <si>
    <t xml:space="preserve">15-015546-0173-0050</t>
  </si>
  <si>
    <t xml:space="preserve">Ruben Bumatay</t>
  </si>
  <si>
    <t xml:space="preserve">15-015546-0050-142</t>
  </si>
  <si>
    <t xml:space="preserve">Bignai,Duhat,Santol,Tamarind</t>
  </si>
  <si>
    <t xml:space="preserve">15-015546-0226-0090</t>
  </si>
  <si>
    <t xml:space="preserve">15-015546-0090-176</t>
  </si>
  <si>
    <t xml:space="preserve">Coffee, Gmeline, Narra</t>
  </si>
  <si>
    <t xml:space="preserve">15-015546-0227-0050</t>
  </si>
  <si>
    <t xml:space="preserve">Greener Environment for Maseil-seil Association, Inc.</t>
  </si>
  <si>
    <t xml:space="preserve">15-015546-0050-177</t>
  </si>
  <si>
    <t xml:space="preserve">15-015546-0228-0190</t>
  </si>
  <si>
    <t xml:space="preserve">15-015546-0190-175</t>
  </si>
  <si>
    <t xml:space="preserve">Bachelor East</t>
  </si>
  <si>
    <t xml:space="preserve">16-015546-0092-0050</t>
  </si>
  <si>
    <t xml:space="preserve">Local Government of Natividad</t>
  </si>
  <si>
    <t xml:space="preserve">Pablo Malla</t>
  </si>
  <si>
    <t xml:space="preserve">16-015546-0100-052</t>
  </si>
  <si>
    <t xml:space="preserve">Natividad United Farmers Association,Inc.</t>
  </si>
  <si>
    <t xml:space="preserve">San Macario Sur</t>
  </si>
  <si>
    <t xml:space="preserve">16-015546-0093-0050</t>
  </si>
  <si>
    <t xml:space="preserve">Duhat,Nangka</t>
  </si>
  <si>
    <t xml:space="preserve">16-015546-0094-0030</t>
  </si>
  <si>
    <t xml:space="preserve">16-015546-0030-053</t>
  </si>
  <si>
    <t xml:space="preserve">16-015546-0095-0027</t>
  </si>
  <si>
    <t xml:space="preserve">16-015546-0027-054</t>
  </si>
  <si>
    <t xml:space="preserve">15</t>
  </si>
  <si>
    <t xml:space="preserve">Forest Fire                                                                Incediarism(May 16-17,2021)</t>
  </si>
  <si>
    <t xml:space="preserve">Agno Masonic Lodge 75</t>
  </si>
  <si>
    <t xml:space="preserve">16-015546-0096-0040</t>
  </si>
  <si>
    <t xml:space="preserve">16-015546-0040-055</t>
  </si>
  <si>
    <t xml:space="preserve">16-015546-0097-0065</t>
  </si>
  <si>
    <t xml:space="preserve">Aquille Mountain Climbers Association, Inc.</t>
  </si>
  <si>
    <t xml:space="preserve">16-015546-0065-056</t>
  </si>
  <si>
    <t xml:space="preserve">Kasoy,Narra</t>
  </si>
  <si>
    <t xml:space="preserve">16-015546-0098-0030</t>
  </si>
  <si>
    <t xml:space="preserve">16-015546-0030-057</t>
  </si>
  <si>
    <t xml:space="preserve">17-015546-0092-0030</t>
  </si>
  <si>
    <t xml:space="preserve">10 10 15</t>
  </si>
  <si>
    <t xml:space="preserve">Forest Fire                                                                                         Fire-excape fire from charcoal pit from a private land                      (January 31,2019)                                                              </t>
  </si>
  <si>
    <t xml:space="preserve">https://drive.google.com/drive/folders/1GneAvCWvueeu2eEAwQNVrerJ_hi6duRJ</t>
  </si>
  <si>
    <t xml:space="preserve">17-015546-0174-0050</t>
  </si>
  <si>
    <t xml:space="preserve">https://drive.google.com/drive/folders/1O3Fn76cYq62BXSexAChJVD7SJuK5LNrR</t>
  </si>
  <si>
    <t xml:space="preserve">https://drive.google.com/drive/folders/1lgofL12O5DstW7seokiehTZtj_yVotIo</t>
  </si>
  <si>
    <t xml:space="preserve">https://drive.google.com/drive/folders/1sJcXTef-zwSCTx4KCUVqu0nYt4tpKXPW</t>
  </si>
  <si>
    <t xml:space="preserve">https://drive.google.com/drive/folders/1Yp79MckbkTg3iB5rNHfHpOD6y1hmHKMk</t>
  </si>
  <si>
    <t xml:space="preserve">40</t>
  </si>
  <si>
    <t xml:space="preserve">https://drive.google.com/drive/folders/193RveosFLnHtBWuF9QkGw_iPPZhFx1Uh</t>
  </si>
  <si>
    <t xml:space="preserve">Forest Fire                                                                  Burning of grasses from adjacent riceland along Calunetan creek( February 22,2020                        Burning of grasses from adjacent riceland along Calunetan creek (January </t>
  </si>
  <si>
    <t xml:space="preserve">https://drive.google.com/drive/folders/1p7Z9Una7Z2xiMRHNd96MyPYobv4Ctdx6</t>
  </si>
  <si>
    <t xml:space="preserve">Forest Fire                                                                                              Ignited allegedly by honey gatherers (February 5,2023)                                                                                                </t>
  </si>
  <si>
    <t xml:space="preserve">https://drive.google.com/drive/folders/1neSxZb2KuiqhqCuc4uwKeKVPTkPPBbP</t>
  </si>
  <si>
    <t xml:space="preserve">5 13</t>
  </si>
  <si>
    <t xml:space="preserve">https://drive.google.com/drive/folders/1srCuTYvTf4QTcFjpIq-XkC_5kDT9zjC6</t>
  </si>
  <si>
    <t xml:space="preserve">Renerio S. Ingean Jr.(formerly Eduardo Luzan)</t>
  </si>
  <si>
    <t xml:space="preserve">https://drive.google.com/drive/folders/1ISy6yItPEKmiQ0Z6jwETf9FIfMHyIi40</t>
  </si>
  <si>
    <t xml:space="preserve">https://drive.google.com/drive/folders/1DtcAfVQKXLGdoCyIQDdiCAoefZWYPRTl</t>
  </si>
  <si>
    <t xml:space="preserve">https://drive.google.com/drive/folders/18eADFQptVnCquIYQM5c2tgzdVD6dP5WU</t>
  </si>
  <si>
    <t xml:space="preserve">Marcelo Cabico</t>
  </si>
  <si>
    <t xml:space="preserve">https://drive.google.com/drive/folders/12iE-skioixl0gb3n17x-It0HrtF14h8k</t>
  </si>
  <si>
    <t xml:space="preserve">Forest Fire                                                                                                    Hunting( February 2,2020                                                                                                    Farming (February 7,</t>
  </si>
  <si>
    <t xml:space="preserve">https://drive.google.com/drive/folders/1FiUvUlhdWWp85JuXNA-8bTj-ay_XOTCf</t>
  </si>
  <si>
    <t xml:space="preserve">https://drive.google.com/drive/folders/1iW3ykO9KEfAW_H7zf-klGlk1iG6Tbutb</t>
  </si>
  <si>
    <t xml:space="preserve">https://drive.google.com/drive/folders/1iBOFb8NDzQ9fG64dPVcoSC1JbeivxXT7</t>
  </si>
  <si>
    <t xml:space="preserve">Animo Tacnien Inc.</t>
  </si>
  <si>
    <t xml:space="preserve">https://drive.google.com/drive/folders/128OWNBPjBXdK-xGyJQylMTqfzXEBYGV9</t>
  </si>
  <si>
    <t xml:space="preserve">Forest Fire                                                                                          Hunting (January 14,2019)                                                             Cogon gatherer (May 18,2020)                                        </t>
  </si>
  <si>
    <t xml:space="preserve">https://drive.google.com/drive/folders/1cpxBaHDyBABaleIbFp-v_HfE7-F0Wirc</t>
  </si>
  <si>
    <t xml:space="preserve">https://drive.google.com/drive/folders/1MFGyivJU2xUSn0J7hIW3t8zRU0EZkc20</t>
  </si>
  <si>
    <t xml:space="preserve">30</t>
  </si>
  <si>
    <t xml:space="preserve">7</t>
  </si>
  <si>
    <t xml:space="preserve">Forest Fire                                                                             cogon gathering (February 23,2019)                                     Escaped from nearby Private Land (February 20, 2020)                                            </t>
  </si>
  <si>
    <t xml:space="preserve">10</t>
  </si>
  <si>
    <t xml:space="preserve">NAEVAM Irrigators Association, Inc.</t>
  </si>
  <si>
    <t xml:space="preserve">4</t>
  </si>
  <si>
    <t xml:space="preserve">Forest Fire                                                                         Hunting (February 16,2023)</t>
  </si>
  <si>
    <t xml:space="preserve">20,000.00</t>
  </si>
  <si>
    <t xml:space="preserve">25,000.00</t>
  </si>
  <si>
    <t xml:space="preserve">50,000.00</t>
  </si>
  <si>
    <t xml:space="preserve">30,000.00</t>
  </si>
  <si>
    <t xml:space="preserve">29,000.00</t>
  </si>
  <si>
    <t xml:space="preserve">2</t>
  </si>
  <si>
    <t xml:space="preserve">38,000.00</t>
  </si>
  <si>
    <t xml:space="preserve">10,000.00</t>
  </si>
  <si>
    <t xml:space="preserve">https://tinyurl.com/AlibengBelbelCY2023</t>
  </si>
  <si>
    <t xml:space="preserve">24-015546-0014-0020</t>
  </si>
  <si>
    <t xml:space="preserve">Brgy. Government of Cabangaran</t>
  </si>
  <si>
    <t xml:space="preserve">Rudy M. Ramos</t>
  </si>
  <si>
    <t xml:space="preserve">24-015546-0040-014</t>
  </si>
  <si>
    <t xml:space="preserve">Back-log</t>
  </si>
  <si>
    <t xml:space="preserve">24-015546-0015-0020</t>
  </si>
  <si>
    <t xml:space="preserve">Bensican</t>
  </si>
  <si>
    <t xml:space="preserve">24-015546-0013-0046</t>
  </si>
  <si>
    <t xml:space="preserve">24-015546-0046-013</t>
  </si>
  <si>
    <t xml:space="preserve">46,000.00</t>
  </si>
  <si>
    <t xml:space="preserve">https://tinyurl.com/Salpad46haCY2024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</si>
</sst>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#,##0"/>
    <numFmt numFmtId="167" formatCode="mmmm\ d&quot;, &quot;yyyy"/>
    <numFmt numFmtId="168" formatCode="0.00%"/>
    <numFmt numFmtId="169" formatCode="mmmm\ dd&quot;, &quot;yyyy"/>
    <numFmt numFmtId="170" formatCode="mmmm\ d\,yyyy"/>
    <numFmt numFmtId="171" formatCode="#,##0.00"/>
    <numFmt numFmtId="172" formatCode="mm/dd/yy"/>
    <numFmt numFmtId="173" formatCode="m/d/yyyy"/>
    <numFmt numFmtId="174" formatCode="m\ d\ yy"/>
    <numFmt numFmtId="175" formatCode="m\ d"/>
    <numFmt numFmtId="176" formatCode="hh:mm:ss\ AM/PM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2"/>
      <color theme="1"/>
      <name val="Arial Narrow"/>
      <family val="0"/>
      <charset val="1"/>
    </font>
    <font>
      <sz val="12"/>
      <color theme="1"/>
      <name val="Arial Narrow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0000"/>
      <name val="Arial Narrow"/>
      <family val="0"/>
      <charset val="1"/>
    </font>
    <font>
      <sz val="12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C9DAF8"/>
      </patternFill>
    </fill>
    <fill>
      <patternFill patternType="solid">
        <fgColor rgb="FFFFF2CC"/>
        <bgColor rgb="FFFCE5CD"/>
      </patternFill>
    </fill>
    <fill>
      <patternFill patternType="solid">
        <fgColor rgb="FFD9D2E9"/>
        <bgColor rgb="FFEAD1DC"/>
      </patternFill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D9D2E9"/>
      </patternFill>
    </fill>
    <fill>
      <patternFill patternType="solid">
        <fgColor rgb="FFEAD1DC"/>
        <bgColor rgb="FFD9D2E9"/>
      </patternFill>
    </fill>
    <fill>
      <patternFill patternType="solid">
        <fgColor rgb="FFFCE5CD"/>
        <bgColor rgb="FFFFF2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6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1" fontId="11" fillId="0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1" fontId="10" fillId="0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0" fillId="0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1" fontId="6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6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9" fillId="6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9" fillId="7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8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9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6" fillId="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6" fillId="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6" fillId="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6" fillId="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6" fillId="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6" fillId="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6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E9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<Relationship Id="rId13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09" createdVersion="3">
  <cacheSource type="worksheet">
    <worksheetSource ref="A1:BG210" sheet="DPCache_Urdaneta"/>
  </cacheSource>
  <cacheFields count="59">
    <cacheField name="PENRO" numFmtId="0">
      <sharedItems count="1">
        <s v="Pangasinan"/>
      </sharedItems>
    </cacheField>
    <cacheField name="IMPLEMENTING CENRO" numFmtId="0">
      <sharedItems count="1">
        <s v="Urdaneta City"/>
      </sharedItems>
    </cacheField>
    <cacheField name="CONGRESSIONAL DISTRICT" numFmtId="0">
      <sharedItems count="2">
        <s v="V"/>
        <s v="VI"/>
      </sharedItems>
    </cacheField>
    <cacheField name="BARANGAY" numFmtId="0">
      <sharedItems count="60">
        <s v="Acop"/>
        <s v="Alibeng"/>
        <s v="Annam"/>
        <s v="Bachelor East"/>
        <s v="Balangobong"/>
        <s v="Bantog"/>
        <s v="Barangays that are Within Banila River"/>
        <s v="Batchelor East"/>
        <s v="Bensican"/>
        <s v="Bomboaya"/>
        <s v="Cabangaran"/>
        <s v="Cacandungan"/>
        <s v="Calitlitan"/>
        <s v="Calunetan"/>
        <s v="Camangaan"/>
        <s v="Casantamarian"/>
        <s v="Casaratan"/>
        <s v="Catablan"/>
        <s v="Dalumpinas"/>
        <s v="Diaz"/>
        <s v="Fianza"/>
        <s v="Gueset Norte"/>
        <s v="Haway"/>
        <s v="Inmalog"/>
        <s v="Kasaratan"/>
        <s v="Kita-kita"/>
        <s v="Labayug"/>
        <s v="Lapalo"/>
        <s v="Maambal"/>
        <s v="Magallanes"/>
        <s v="Malico"/>
        <s v="Mangkasoy"/>
        <s v="Maseil-seil"/>
        <s v="Nangapugan"/>
        <s v="Paitan"/>
        <s v="Pasileng"/>
        <s v="Poblacion"/>
        <s v="Puelay"/>
        <s v="Pugaro"/>
        <s v="Ricos"/>
        <s v="Salingcob"/>
        <s v="Salpad"/>
        <s v="Samon"/>
        <s v="San Andres"/>
        <s v="San Andress"/>
        <s v="San Bonifacio"/>
        <s v="San Eugenio"/>
        <s v="San Felipe"/>
        <s v="San Felipe East"/>
        <s v="San Macario Sur"/>
        <s v="San Roque"/>
        <s v="Santa Maria"/>
        <s v="Santa Maria East"/>
        <s v="Santa Rosa"/>
        <s v="Santo Domingo"/>
        <s v="Sta Maria"/>
        <s v="Sta Rosa"/>
        <s v="Sta. Maria East"/>
        <s v="Sta. Rosa"/>
        <s v="Sumabnit"/>
      </sharedItems>
    </cacheField>
    <cacheField name="MUNICIPALITY" numFmtId="0">
      <sharedItems count="18">
        <s v="Asingan"/>
        <s v="Balungao"/>
        <s v="Binalonan"/>
        <s v="Nativadad"/>
        <s v="Natividad"/>
        <s v="Pozorubbio"/>
        <s v="Rosales"/>
        <s v="San Manuel"/>
        <s v="San Nicolas"/>
        <s v="San Quintin"/>
        <s v="Santa Maria"/>
        <s v="Sison"/>
        <s v="Sta. Maria"/>
        <s v="Sta.Maria"/>
        <s v="Tayug"/>
        <s v="Umingan"/>
        <s v="Urdaneta City"/>
        <s v="Villasis"/>
      </sharedItems>
    </cacheField>
    <cacheField name="IDENTIFY IF WATERSHED, PA OR REGULAR" numFmtId="0">
      <sharedItems containsBlank="1" count="3">
        <s v="Regular"/>
        <s v="Watershed"/>
        <m/>
      </sharedItems>
    </cacheField>
    <cacheField name="MAJOR LAND-USE LOCATION (Name of Watershed,PA or NA)" numFmtId="0">
      <sharedItems count="7">
        <s v="-"/>
        <s v="Agno River Basin"/>
        <s v="Agno River Basin, Toboy-Tacnien River Watershed"/>
        <s v="Bued River Watershed"/>
        <s v="Bued River Watershed, Toboy-Tacnien River Watershed"/>
        <s v="Taboy-Tacnien River Watershed"/>
        <s v="Toboy-Tacnien River Watershed"/>
      </sharedItems>
    </cacheField>
    <cacheField name="ZONE (PRODUCTION OR PROTECTION)" numFmtId="0">
      <sharedItems count="3">
        <s v="Production"/>
        <s v="Production and Protection"/>
        <s v="Protection"/>
      </sharedItems>
    </cacheField>
    <cacheField name="SITE CODE" numFmtId="0">
      <sharedItems count="209">
        <s v="11-015546-0134-0126"/>
        <s v="11-015546-0135-0025"/>
        <s v="11-015546-0136-0021"/>
        <s v="11-015546-0137-0051"/>
        <s v="11-015546-0138-0060"/>
        <s v="11-015546-0139-0050"/>
        <s v="11-015546-0140-0050"/>
        <s v="11-015546-0141-0026"/>
        <s v="11-015546-0142-0026"/>
        <s v="11-015546-0143-0005"/>
        <s v="11-015546-0144-0002"/>
        <s v="11-015546-0145-0083"/>
        <s v="11-015546-0146-0000"/>
        <s v="11-015546-0147-0050"/>
        <s v="12-015546-0289-0065"/>
        <s v="12-015546-0290-0010"/>
        <s v="12-015546-0291-0051"/>
        <s v="12-015546-0292-0050"/>
        <s v="12-015546-0293-0051"/>
        <s v="12-015546-0295-0002"/>
        <s v="12-015546-0296-0003"/>
        <s v="12-015546-0297-0002"/>
        <s v="12-015546-0300-0000"/>
        <s v="12-015546-0301-0000"/>
        <s v="12-015546-0302-0000"/>
        <s v="12-015546-0303-0000"/>
        <s v="12-015546-0304-0001"/>
        <s v="12-015546-0305-0002"/>
        <s v="12-015546-0306-0002"/>
        <s v="12-015546-0307-0000"/>
        <s v="12-015546-0308-0003"/>
        <s v="12-015546-0309-0000"/>
        <s v="12-015546-0310-0002"/>
        <s v="12-015546-0311-0001"/>
        <s v="12-015546-0312-0000"/>
        <s v="12-015546-0313-0000"/>
        <s v="12-015546-0314-0000"/>
        <s v="12-015546-0315-0001"/>
        <s v="12-015546-0316-0000"/>
        <s v="12-015546-0317-0000"/>
        <s v="12-015546-0318-0000"/>
        <s v="12-015546-0319-0002"/>
        <s v="12-015546-0320-0000"/>
        <s v="12-015546-0321-0004"/>
        <s v="12-015546-0322-0001"/>
        <s v="12-015546-0324-0000"/>
        <s v="12-015546-0325-0001"/>
        <s v="12-015546-0326-0001"/>
        <s v="12-015546-0327-0002"/>
        <s v="12-015546-0329-0002"/>
        <s v="12-015546-0331-0000"/>
        <s v="12-015546-0333-0000"/>
        <s v="12-015546-0338-0000"/>
        <s v="12-015546-0339-0000"/>
        <s v="12-015546-0340-0000"/>
        <s v="12-015546-0341-0000"/>
        <s v="12-015546-0342-0000"/>
        <s v="12-015546-0343-0050"/>
        <s v="12-015546-0344-0050"/>
        <s v="12-015546-0345-0023"/>
        <s v="12-015546-0346-0052"/>
        <s v="12-015546-0347-0114"/>
        <s v="12-015546-0348-0048"/>
        <s v="12-015546-0349-0116"/>
        <s v="12-015546-0350-0052"/>
        <s v="13-015546-0312-0042"/>
        <s v="13-015546-0313-0075"/>
        <s v="13-015546-0314-0020"/>
        <s v="13-015546-0315-0050"/>
        <s v="13-015546-0316-0010"/>
        <s v="13-015546-0317-0044"/>
        <s v="13-015546-0318-0050"/>
        <s v="13-015546-0319-0045"/>
        <s v="13-015546-0320-0017"/>
        <s v="13-015546-0321-0001"/>
        <s v="13-015546-0322-0004"/>
        <s v="13-015546-0323-0004"/>
        <s v="13-015546-0324-0001"/>
        <s v="13-015546-0325-0075"/>
        <s v="13-015546-0326-0100"/>
        <s v="13-015546-0327-0020"/>
        <s v="13-015546-0328-0050"/>
        <s v="13-015546-0329-0090"/>
        <s v="13-015546-0330-0005"/>
        <s v="13-015546-0331-0100"/>
        <s v="13-015546-0332-0025"/>
        <s v="13-015546-0333-0050"/>
        <s v="13-015546-0334-0200"/>
        <s v="13-015546-0335-0161"/>
        <s v="13-015546-0336-0040"/>
        <s v="13-015546-0337-0110"/>
        <s v="13-015546-0338-0010"/>
        <s v="13-015546-0339-0025"/>
        <s v="13-015546-0340-0050"/>
        <s v="14-015546-0161-0100"/>
        <s v="14-015546-0162-0060"/>
        <s v="14-015546-0163-0170"/>
        <s v="14-015546-0164-0130"/>
        <s v="14-015546-0165-0100"/>
        <s v="14-015546-0166-0100"/>
        <s v="14-015546-0167-0305"/>
        <s v="14-015546-0168-0230"/>
        <s v="14-015546-0169-0165"/>
        <s v="14-015546-0170-0050"/>
        <s v="14-015546-0171-0060"/>
        <s v="14-015546-0172-0050"/>
        <s v="14-015546-0173-0050"/>
        <s v="14-015546-0174-0050"/>
        <s v="14-015546-0175-0050"/>
        <s v="14-015546-0176-0058"/>
        <s v="14-015546-0177-0100"/>
        <s v="15-015546-0162-0050"/>
        <s v="15-015546-0163-0200"/>
        <s v="15-015546-0164-0200"/>
        <s v="15-015546-0165-0100"/>
        <s v="15-015546-0166-0365"/>
        <s v="15-015546-0167-0132"/>
        <s v="15-015546-0168-0409"/>
        <s v="15-015546-0169-0190"/>
        <s v="15-015546-0170-0101"/>
        <s v="15-015546-0171-0050"/>
        <s v="15-015546-0172-0050"/>
        <s v="15-015546-0173-0050"/>
        <s v="15-015546-0226-0090"/>
        <s v="15-015546-0227-0050"/>
        <s v="15-015546-0228-0190"/>
        <s v="16-015546-0092-0050"/>
        <s v="16-015546-0093-0050"/>
        <s v="16-015546-0094-0030"/>
        <s v="16-015546-0095-0027"/>
        <s v="16-015546-0096-0040"/>
        <s v="16-015546-0097-0065"/>
        <s v="16-015546-0098-0030"/>
        <s v="17-015546-0088-0050"/>
        <s v="17-015546-0089-0030"/>
        <s v="17-015546-0090-0025"/>
        <s v="17-015546-0091-0050"/>
        <s v="17-015546-0092-0030"/>
        <s v="17-015546-0093-0040"/>
        <s v="17-015546-0094-0050"/>
        <s v="17-015546-0095-0050"/>
        <s v="17-015546-0096-0025"/>
        <s v="17-015546-0172-0050"/>
        <s v="17-015546-0173-0050"/>
        <s v="17-015546-0174-0050"/>
        <s v="17-015546-0175-0050"/>
        <s v="17-015546-0176-0050"/>
        <s v="17-015546-0177-0050"/>
        <s v="17-015546-0178-0050"/>
        <s v="17-015546-0179-0050"/>
        <s v="17-015546-0180-0050"/>
        <s v="17-015546-0181-0050"/>
        <s v="17-015546-0195-0050"/>
        <s v="17-015546-0279-0040"/>
        <s v="18-015545-0217-0060"/>
        <s v="18-015546-0210-0060"/>
        <s v="18-015546-0211-0060"/>
        <s v="18-015546-0212-0050"/>
        <s v="18-015546-0213-0050"/>
        <s v="18-015546-0214-0050"/>
        <s v="18-015546-0215-0060"/>
        <s v="18-015546-0216-0060"/>
        <s v="18-015546-0218-0050"/>
        <s v="18-015546-0219-0050"/>
        <s v="18-015546-0220-0050"/>
        <s v="18-015546-0221-0050"/>
        <s v="18-015546-0222-0050"/>
        <s v="18-015546-0235-0020"/>
        <s v="18-015546-0269-0017"/>
        <s v="18-015546-0270-0060"/>
        <s v="18-015546-0271-0025"/>
        <s v="20-015546-0106-0015"/>
        <s v="20-015546-0107-0025"/>
        <s v="20-015546-0108-0020"/>
        <s v="20-015546-0109-0020"/>
        <s v="20-015546-0110-0020"/>
        <s v="20-015546-0111-0025"/>
        <s v="20-015546-0112-0025"/>
        <s v="20-015546-0113-0025"/>
        <s v="20-015546-0114-0025"/>
        <s v="20-015546-0115-0015"/>
        <s v="20-015546-0116-0015"/>
        <s v="20-015546-0117-0020"/>
        <s v="20-015546-0118-0021"/>
        <s v="20-015546-0119-0009"/>
        <s v="20-015546-0120-0020"/>
        <s v="20-015546-0121-0025"/>
        <s v="20-015546-0122-0025"/>
        <s v="20-015546-0123-0025"/>
        <s v="20-015546-0124-0025"/>
        <s v="20-015546-0125-0025"/>
        <s v="20-015546-0126-0025"/>
        <s v="20-015546-0127-0025"/>
        <s v="21-015546-0071-0020"/>
        <s v="21-015546-0072-0025"/>
        <s v="21-015546-0073-0050"/>
        <s v="21-015546-0074-0025"/>
        <s v="21-015546-0075-0030"/>
        <s v="21-015546-0076-0025"/>
        <s v="21-015546-0077-0029"/>
        <s v="21-015546-0078-0025"/>
        <s v="22-015546-0071-0020"/>
        <s v="22-015546-0072-0038"/>
        <s v="22-015546-0073-0010"/>
        <s v="22-015546-0074-0010"/>
        <s v="23-015546-0004-0050"/>
        <s v="24-015546-0013-0046"/>
        <s v="24-015546-0014-0020"/>
        <s v="24-015546-0015-0020"/>
      </sharedItems>
    </cacheField>
    <cacheField name="NAME OF PARTNER/CONTRACTOR (GROUP OR INDIVIDUAL)" numFmtId="0">
      <sharedItems count="78">
        <s v="Alibeng Bel-bel Upland Farmers Association Inc. (formerly Sison Alibeng Communal Irrigators Association)"/>
        <s v="Alibeng Bel-bel Upland Farmers Association, Inc."/>
        <s v="Animo Tacnien Association, Inc."/>
        <s v="Animo Tacnien Inc."/>
        <s v="Annam Reforestation Association in Pangasinan"/>
        <s v="Annam Reforestation Association in Pangasinan Inc."/>
        <s v="Annam Reforestation Association in Pangasinan, Inc."/>
        <s v="Aquille Mountain Climbers Association, Inc."/>
        <s v="Balangobong Elementary School and Balangobong National High School"/>
        <s v="Bangol Canit Ibaloi Samahang Tribu sa Kaunlaran Association,Inc."/>
        <s v="Barangay Council of Calunetan"/>
        <s v="Barangay Council of Lipay"/>
        <s v="Barangay Council of Puelay"/>
        <s v="Barangay Council of Salingcob"/>
        <s v="Barangay Council of Salud"/>
        <s v="Barangay Council of San Roque"/>
        <s v="Barangay Government of Cabangaran"/>
        <s v="Barangay Government of Casantamaria-an"/>
        <s v="Barangay Government of Lapalo"/>
        <s v="Barangay Government of Nangapugan"/>
        <s v="Bomboaya San Manuel"/>
        <s v="Brgy. Government of Cabangaran"/>
        <s v="Cabalisian Tree Planters Association, Inc."/>
        <s v="Cabalisyan Kalanguya Tribal Association, Inc."/>
        <s v="CALEGU Elementary School"/>
        <s v="Catablan Integrated School"/>
        <s v="Dalumpinas Tree Planters Association, Inc."/>
        <s v="Fianza Tree Planters Association, Inc."/>
        <s v="Greener Environment for Maseil-seil Association, Inc."/>
        <s v="Greener Environment for Maseil-seil, Inc."/>
        <s v="Haway Elementary School"/>
        <s v="I-Owak Tribe Earth Savers Association, Inc."/>
        <s v="Inmalog Highlands Farmers Association, Inc. (formerly Northern and Southern Inmalog Spring Association)"/>
        <s v="Kalahan Educational Foundation, Inc."/>
        <s v="Kita-kita Balungao Upland Farmers Association, Inc"/>
        <s v="Labayug Mountain Base Agro-Forestry Association, Inc."/>
        <s v="LGU Asingan"/>
        <s v="LGU Balungao"/>
        <s v="LGU Binalonan"/>
        <s v="LGU Natividad"/>
        <s v="LGU Rosales"/>
        <s v="LGU San Manuel"/>
        <s v="LGU San Nicolas"/>
        <s v="LGU San Quintin"/>
        <s v="LGU Santa Maria"/>
        <s v="LGU Tayug"/>
        <s v="LGU Umingan"/>
        <s v="Local Government of Natividad"/>
        <s v="Local Government of Santa Maria De Pila"/>
        <s v="Local Government Unit of Santa Maria"/>
        <s v="Lower Bomboaya Planters Irrigators Association, Inc."/>
        <s v="Maambal,Pozzorobio,Pangasinan"/>
        <s v="Mabini San Andres Balungao Hilltop Developers Association, Inc."/>
        <s v="Malico Indigenous People's Development Organization Inc."/>
        <s v="Malico Indigenous Peoples Development Organization Inc."/>
        <s v="Mangkasuy Binalonan"/>
        <s v="MLGU Pangasinan"/>
        <s v="Mount Balungao Tree Farmers Association, Inc."/>
        <s v="MRF Dumpsite"/>
        <s v="NAEVAM Irrigators Association, Inc."/>
        <s v="Paitan Multi-purpose Cooperative"/>
        <s v="Pangasinan Coffee Growers Association, Inc."/>
        <s v="Pasileng Elementary School"/>
        <s v="Puyao Forest Workers Association, Inc."/>
        <s v="Rang-ay Bantay Association, Inc."/>
        <s v="Salpad Forest Workers Association, Inc."/>
        <s v="Samahang Masa ng San Eugenio Natividad Association, Inc."/>
        <s v="San Antonio Management Association, Inc. (formerly Salingcob Village Association,Inc.)"/>
        <s v="San Felipe Watershed Management  Association, Inc."/>
        <s v="San Felipe Watershed Management Association, Inc."/>
        <s v="San Nicolas Tree Farmers Association, Inc."/>
        <s v="Skyline Green Forest Conservation Association, Inc."/>
        <s v="Sta. Maria Elementary School and Sta. Maria National Highschool"/>
        <s v="The Guardians Brotherhood ,Inc."/>
        <s v="The Guardians Brotherhood,Inc."/>
        <s v="Ubbog ti Daya Multi-purpose Cooperative"/>
        <s v="Viva Cacandungan San Jose Tree Planters Association, Inc."/>
        <s v="Waeg Pamayor Calitlitan Irrigators Association, Inc."/>
      </sharedItems>
    </cacheField>
    <cacheField name="NAME OF GROUP CONTACT PERSON OF THE PARTNER GROUP" numFmtId="0">
      <sharedItems containsBlank="1" count="60">
        <s v=" Renerio S. Ingean Jr. (formerly Nicandro Bautista)"/>
        <s v="Alferdo Jaime (formerly Marlyn Ganigan)"/>
        <s v="Alfredo Jaime"/>
        <s v="Alfredo Jaime (formerly Benjamin Leo Ganaden)"/>
        <s v="Benito Valdrez"/>
        <s v="Carlito Alvarez"/>
        <s v="Cesario Marquez"/>
        <s v="Cirilo Cabanada"/>
        <s v="Danilo Serios"/>
        <s v="Dominador Sarmiento"/>
        <s v="Domingo Lapias"/>
        <s v="Felix Lorenzo"/>
        <s v="Fernado Amarillo"/>
        <s v="Fernando Abitong"/>
        <s v="Fernando Amarillo"/>
        <s v="Fernando Ilasin (formerly Danilo Fabros)"/>
        <s v="Francisco Florentin"/>
        <s v="Herminigildo Ayang"/>
        <s v="Herminildo Ayang"/>
        <s v="Imelda Abuan"/>
        <s v="Ismael Agyapas"/>
        <s v="Jovencio Macayan"/>
        <s v="Julio Ramos"/>
        <s v="Loreto m. Doton (formerly Cesario Marquez)"/>
        <s v="Marcelo B. Cabico"/>
        <s v="Marcelo Cabico"/>
        <s v="Mariano Casuga"/>
        <s v="Mario Suyat"/>
        <s v="Mary Jan F. Gaongen (formerly Albino Roman)"/>
        <s v="Michael Carleone M. Cruz"/>
        <s v="Monico Castillo"/>
        <s v="Mr. Renerio S. Ingean Jr."/>
        <s v="Municipal Mayor"/>
        <s v="Pablo Malla"/>
        <s v="Peter Dapig"/>
        <s v="Primo Lopez"/>
        <s v="Raul Paluyo"/>
        <s v="Renerio S. Ingean Jr.(formerly Eduardo Luzan)"/>
        <s v="Ricardo Guerzo"/>
        <s v="Rodel Gallebo (formerly Danny Dariano)"/>
        <s v="Rolando Apilado"/>
        <s v="Romy L. Paay"/>
        <s v="Romy Paay"/>
        <s v="Ronaldo Apilado"/>
        <s v="Ruben Bumatay"/>
        <s v="Ruben Martinez"/>
        <s v="Ruben Martinez (formerly Johnico Suyat)"/>
        <s v="Rudy M. Ramos"/>
        <s v="Rudy Ramos Sr."/>
        <s v="Teddy Garcia"/>
        <s v="Teodoro A. Ramos"/>
        <s v="Teresa Abrue"/>
        <s v="Tito Ancheta"/>
        <s v="Toribio Riola"/>
        <s v="Wilferdo Cayoao"/>
        <s v="Willy Dino"/>
        <s v="Zaldy Collado"/>
        <s v="Zenaida A. Liberato"/>
        <s v="Zenaida Liberato"/>
        <m/>
      </sharedItems>
    </cacheField>
    <cacheField name="LOA/CONTRACT CODE (YEAR-CENRO CODE-3 DIGITS)" numFmtId="0">
      <sharedItems count="159">
        <s v="11-015546-0021-108"/>
        <s v="11-015546-0025-112"/>
        <s v="11-015546-0026-107"/>
        <s v="11-015546-0026-113"/>
        <s v="11-015546-0050-111"/>
        <s v="11-015546-0050-115"/>
        <s v="11-015546-0051-109"/>
        <s v="11-015546-0090-114"/>
        <s v="11-015546-0110-110"/>
        <s v="11-015546-0126-106"/>
        <s v="12-015546-0000-222"/>
        <s v="12-015546-0000-224"/>
        <s v="12-015546-0000-230"/>
        <s v="12-015546-0000-232"/>
        <s v="12-015546-0000-238"/>
        <s v="12-015546-0000-239"/>
        <s v="12-015546-0000-240"/>
        <s v="12-015546-0001-228"/>
        <s v="12-015546-0001-229"/>
        <s v="12-015546-0001-234"/>
        <s v="12-015546-0001-235"/>
        <s v="12-015546-0001-241"/>
        <s v="12-015546-0001-242"/>
        <s v="12-015546-0002-219"/>
        <s v="12-015546-0002-221"/>
        <s v="12-015546-0002-223"/>
        <s v="12-015546-0002-225"/>
        <s v="12-015546-0002-227"/>
        <s v="12-015546-0002-231"/>
        <s v="12-015546-0002-236"/>
        <s v="12-015546-0002-237"/>
        <s v="12-015546-0003-220"/>
        <s v="12-015546-0003-226"/>
        <s v="12-015546-0005-233"/>
        <s v="12-015546-0010-249"/>
        <s v="12-015546-0051-250"/>
        <s v="12-015546-0052-247"/>
        <s v="12-015546-0065-248"/>
        <s v="12-015546-0075-244"/>
        <s v="12-015546-0101-218"/>
        <s v="12-015546-0109-243"/>
        <s v="12-015546-0116-246"/>
        <s v="12-015546-0162-245"/>
        <s v="13-015546-0005-225"/>
        <s v="13-015546-0006-220"/>
        <s v="13-015546-0010-216"/>
        <s v="13-015546-0020-214"/>
        <s v="13-015546-0025-227"/>
        <s v="13-015546-0050-215"/>
        <s v="13-015546-0050-218"/>
        <s v="13-015546-0050-223"/>
        <s v="13-015546-0062-219"/>
        <s v="13-015546-0064-217"/>
        <s v="13-015546-0075-221"/>
        <s v="13-015546-0085-231"/>
        <s v="13-015546-0090-224"/>
        <s v="13-015546-0100-222"/>
        <s v="13-015546-0100-226"/>
        <s v="13-015546-0110-230"/>
        <s v="13-015546-0117-213"/>
        <s v="13-015546-0161-229"/>
        <s v="13-015546-0290-228"/>
        <s v="14-015546-0050-100"/>
        <s v="14-015546-0050-102"/>
        <s v="14-015546-0050-103"/>
        <s v="14-015546-0058-105"/>
        <s v="14-015546-0060-092"/>
        <s v="14-015546-0060-101"/>
        <s v="14-015546-0100-091"/>
        <s v="14-015546-0100-095"/>
        <s v="14-015546-0100-096"/>
        <s v="14-015546-0100-104"/>
        <s v="14-015546-0100-106"/>
        <s v="14-015546-0130-094"/>
        <s v="14-015546-0165-099"/>
        <s v="14-015546-0170-093"/>
        <s v="14-015546-0230-098"/>
        <s v="14-015546-0305-097"/>
        <s v="15-015546-0050-135"/>
        <s v="15-015546-0050-140"/>
        <s v="15-015546-0050-141"/>
        <s v="15-015546-0050-142"/>
        <s v="15-015546-0050-177"/>
        <s v="15-015546-0090-176"/>
        <s v="15-015546-0101-139"/>
        <s v="15-015546-0190-138"/>
        <s v="15-015546-0190-175"/>
        <s v="15-015546-0500-136"/>
        <s v="15-015546-0906-137"/>
        <s v="16-015546-0027-054"/>
        <s v="16-015546-0030-053"/>
        <s v="16-015546-0030-057"/>
        <s v="16-015546-0040-055"/>
        <s v="16-015546-0065-056"/>
        <s v="16-015546-0100-052"/>
        <s v="17-015546-0025-218"/>
        <s v="17-015546-0025-224"/>
        <s v="17-015546-0030-217"/>
        <s v="17-015546-0030-220"/>
        <s v="17-015546-0040-221"/>
        <s v="17-015546-0040-236"/>
        <s v="17-015546-0050-216"/>
        <s v="17-015546-0050-219"/>
        <s v="17-015546-0050-222"/>
        <s v="17-015546-0050-223"/>
        <s v="17-015546-0050-225"/>
        <s v="17-015546-0050-226"/>
        <s v="17-015546-0050-227"/>
        <s v="17-015546-0050-228"/>
        <s v="17-015546-0050-229"/>
        <s v="17-015546-0050-230"/>
        <s v="17-015546-0050-231"/>
        <s v="17-015546-0050-232"/>
        <s v="17-015546-0050-233"/>
        <s v="17-015546-0050-234"/>
        <s v="17-015546-0050-235"/>
        <s v="18-015546-0017-211"/>
        <s v="18-015546-0020-210"/>
        <s v="18-015546-0025-213"/>
        <s v="18-015546-0050-199"/>
        <s v="18-015546-0050-200"/>
        <s v="18-015546-0050-201"/>
        <s v="18-015546-0050-205"/>
        <s v="18-015546-0050-206"/>
        <s v="18-015546-0050-207"/>
        <s v="18-015546-0050-208"/>
        <s v="18-015546-0050-209"/>
        <s v="18-015546-0060-197"/>
        <s v="18-015546-0060-198"/>
        <s v="18-015546-0060-202"/>
        <s v="18-015546-0060-203"/>
        <s v="18-015546-0060-204"/>
        <s v="18-015546-0060-212"/>
        <s v="20-015546-0015-101"/>
        <s v="20-015546-0020-105"/>
        <s v="20-015546-0020-106"/>
        <s v="20-015546-0025-110"/>
        <s v="20-015546-0029-106"/>
        <s v="20-015546-0030-104"/>
        <s v="20-015546-0050-107"/>
        <s v="20-015546-0050-108"/>
        <s v="20-015546-0050-109"/>
        <s v="20-015546-0085-102"/>
        <s v="20-015546-0100-103"/>
        <s v="21-015546-0020-068"/>
        <s v="21-015546-0025-069"/>
        <s v="21-015546-0025-071"/>
        <s v="21-015546-0025-073"/>
        <s v="21-015546-0025-075"/>
        <s v="21-015546-0029-074"/>
        <s v="21-015546-0030-072"/>
        <s v="21-015546-0050-070"/>
        <s v="22-015546-0010-070"/>
        <s v="22-015546-0010-071"/>
        <s v="22-015546-0020-068"/>
        <s v="22-015546-0038-069"/>
        <s v="23-015546-0050-004"/>
        <s v="24-015546-0040-014"/>
        <s v="24-015546-0046-013"/>
      </sharedItems>
    </cacheField>
    <cacheField name="YEAR CONTRACTED" numFmtId="0">
      <sharedItems containsSemiMixedTypes="0" containsString="0" containsNumber="1" containsInteger="1" minValue="2011" maxValue="2024" count="13">
        <n v="2011"/>
        <n v="2012"/>
        <n v="2013"/>
        <n v="2014"/>
        <n v="2015"/>
        <n v="2016"/>
        <n v="2017"/>
        <n v="2018"/>
        <n v="2020"/>
        <n v="2021"/>
        <n v="2022"/>
        <n v="2023"/>
        <n v="2024"/>
      </sharedItems>
    </cacheField>
    <cacheField name="AREA CONTRACTED (HA)" numFmtId="0">
      <sharedItems containsSemiMixedTypes="0" containsString="0" containsNumber="1" minValue="0.01" maxValue="409" count="85">
        <n v="0.01"/>
        <n v="0.03"/>
        <n v="0.05"/>
        <n v="0.06"/>
        <n v="0.08"/>
        <n v="0.1"/>
        <n v="0.15"/>
        <n v="0.17"/>
        <n v="0.2"/>
        <n v="0.21"/>
        <n v="0.24"/>
        <n v="0.25"/>
        <n v="0.27"/>
        <n v="0.31"/>
        <n v="0.35"/>
        <n v="0.41"/>
        <n v="0.5"/>
        <n v="0.72"/>
        <n v="0.79"/>
        <n v="0.84"/>
        <n v="1"/>
        <n v="1.2"/>
        <n v="1.36"/>
        <n v="1.83"/>
        <n v="1.93"/>
        <n v="1.95"/>
        <n v="2"/>
        <n v="2.41"/>
        <n v="2.51"/>
        <n v="2.99"/>
        <n v="3"/>
        <n v="3.5"/>
        <n v="4.16"/>
        <n v="5"/>
        <n v="5.2"/>
        <n v="9"/>
        <n v="10"/>
        <n v="10.03"/>
        <n v="15"/>
        <n v="17"/>
        <n v="17.16"/>
        <n v="20"/>
        <n v="21"/>
        <n v="23"/>
        <n v="25"/>
        <n v="26"/>
        <n v="27"/>
        <n v="29"/>
        <n v="30"/>
        <n v="38"/>
        <n v="40"/>
        <n v="42"/>
        <n v="44"/>
        <n v="45.01"/>
        <n v="46"/>
        <n v="50"/>
        <n v="50.79"/>
        <n v="51"/>
        <n v="51.45"/>
        <n v="51.64"/>
        <n v="52.04"/>
        <n v="58"/>
        <n v="59.06"/>
        <n v="60"/>
        <n v="65"/>
        <n v="75"/>
        <n v="83"/>
        <n v="90"/>
        <n v="100"/>
        <n v="101"/>
        <n v="110"/>
        <n v="116.31"/>
        <n v="121.7"/>
        <n v="126"/>
        <n v="130"/>
        <n v="132"/>
        <n v="161"/>
        <n v="165"/>
        <n v="170"/>
        <n v="190"/>
        <n v="200"/>
        <n v="230"/>
        <n v="305"/>
        <n v="365"/>
        <n v="409"/>
      </sharedItems>
    </cacheField>
    <cacheField name="ACTUAL AREA PLANTED (HA)" numFmtId="0">
      <sharedItems containsSemiMixedTypes="0" containsString="0" containsNumber="1" minValue="0.01" maxValue="409" count="90">
        <n v="0.01"/>
        <n v="0.03"/>
        <n v="0.05"/>
        <n v="0.06"/>
        <n v="0.08"/>
        <n v="0.1"/>
        <n v="0.15"/>
        <n v="0.17"/>
        <n v="0.2"/>
        <n v="0.21"/>
        <n v="0.24"/>
        <n v="0.25"/>
        <n v="0.27"/>
        <n v="0.31"/>
        <n v="0.35"/>
        <n v="0.41"/>
        <n v="0.5"/>
        <n v="0.72"/>
        <n v="0.79"/>
        <n v="0.84"/>
        <n v="1"/>
        <n v="1.2"/>
        <n v="1.36"/>
        <n v="1.81"/>
        <n v="1.83"/>
        <n v="1.93"/>
        <n v="1.95"/>
        <n v="2"/>
        <n v="2.41"/>
        <n v="2.51"/>
        <n v="2.99"/>
        <n v="3"/>
        <n v="3.5"/>
        <n v="4.16"/>
        <n v="4.71"/>
        <n v="5.2"/>
        <n v="9"/>
        <n v="10"/>
        <n v="10.03"/>
        <n v="15"/>
        <n v="17"/>
        <n v="17.16"/>
        <n v="20"/>
        <n v="20.6"/>
        <n v="21"/>
        <n v="23"/>
        <n v="25"/>
        <n v="25.933"/>
        <n v="26"/>
        <n v="27"/>
        <n v="29"/>
        <n v="30"/>
        <n v="38"/>
        <n v="40"/>
        <n v="42"/>
        <n v="44"/>
        <n v="45.01"/>
        <n v="46"/>
        <n v="50"/>
        <n v="50.15"/>
        <n v="50.44"/>
        <n v="50.69"/>
        <n v="50.79"/>
        <n v="51.45"/>
        <n v="51.64"/>
        <n v="52.04"/>
        <n v="58"/>
        <n v="59.06"/>
        <n v="60"/>
        <n v="65"/>
        <n v="75"/>
        <n v="83.07"/>
        <n v="90"/>
        <n v="100"/>
        <n v="101"/>
        <n v="110"/>
        <n v="116.31"/>
        <n v="121.7"/>
        <n v="125.723"/>
        <n v="130"/>
        <n v="132"/>
        <n v="161"/>
        <n v="165"/>
        <n v="170"/>
        <n v="190"/>
        <n v="200"/>
        <n v="230"/>
        <n v="305"/>
        <n v="365"/>
        <n v="409"/>
      </sharedItems>
    </cacheField>
    <cacheField name="NO. OF SEEDLINGS TO BE PLANTED" numFmtId="0">
      <sharedItems containsSemiMixedTypes="0" containsString="0" containsNumber="1" containsInteger="1" minValue="5" maxValue="409100" count="120">
        <n v="5"/>
        <n v="13"/>
        <n v="21"/>
        <n v="24"/>
        <n v="32"/>
        <n v="33"/>
        <n v="39"/>
        <n v="42"/>
        <n v="58"/>
        <n v="67"/>
        <n v="68"/>
        <n v="80"/>
        <n v="96"/>
        <n v="100"/>
        <n v="109"/>
        <n v="124"/>
        <n v="127"/>
        <n v="140"/>
        <n v="162"/>
        <n v="200"/>
        <n v="205"/>
        <n v="289"/>
        <n v="318"/>
        <n v="336"/>
        <n v="400"/>
        <n v="480"/>
        <n v="544"/>
        <n v="700"/>
        <n v="732"/>
        <n v="772"/>
        <n v="780"/>
        <n v="800"/>
        <n v="905"/>
        <n v="963"/>
        <n v="1003"/>
        <n v="1040"/>
        <n v="1195"/>
        <n v="1200"/>
        <n v="1664"/>
        <n v="2000"/>
        <n v="2355"/>
        <n v="3448"/>
        <n v="4000"/>
        <n v="4150"/>
        <n v="5000"/>
        <n v="5014"/>
        <n v="6000"/>
        <n v="8000"/>
        <n v="8401"/>
        <n v="10000"/>
        <n v="10300"/>
        <n v="11255"/>
        <n v="12500"/>
        <n v="12995"/>
        <n v="13024"/>
        <n v="15000"/>
        <n v="15172"/>
        <n v="16648"/>
        <n v="17000"/>
        <n v="18000"/>
        <n v="18005"/>
        <n v="19000"/>
        <n v="20000"/>
        <n v="20200"/>
        <n v="21000"/>
        <n v="22000"/>
        <n v="24990"/>
        <n v="25000"/>
        <n v="25077"/>
        <n v="25320"/>
        <n v="25395"/>
        <n v="25545"/>
        <n v="25723"/>
        <n v="25822"/>
        <n v="26266"/>
        <n v="29528"/>
        <n v="30000"/>
        <n v="32500"/>
        <n v="33320"/>
        <n v="33462"/>
        <n v="36000"/>
        <n v="38000"/>
        <n v="39080"/>
        <n v="39960"/>
        <n v="40000"/>
        <n v="41535"/>
        <n v="41650"/>
        <n v="41700"/>
        <n v="48372"/>
        <n v="49250"/>
        <n v="50000"/>
        <n v="50040"/>
        <n v="54690"/>
        <n v="54780"/>
        <n v="58155"/>
        <n v="58750"/>
        <n v="60040"/>
        <n v="60850"/>
        <n v="62864"/>
        <n v="70500"/>
        <n v="72970"/>
        <n v="75003"/>
        <n v="75012"/>
        <n v="76636"/>
        <n v="82500"/>
        <n v="83300"/>
        <n v="83586"/>
        <n v="100000"/>
        <n v="110000"/>
        <n v="115000"/>
        <n v="118495"/>
        <n v="130000"/>
        <n v="132000"/>
        <n v="153000"/>
        <n v="161000"/>
        <n v="170000"/>
        <n v="190000"/>
        <n v="200000"/>
        <n v="365000"/>
        <n v="409100"/>
      </sharedItems>
    </cacheField>
    <cacheField name="NO. OF SEEDLINGS PLANTED" numFmtId="0">
      <sharedItems containsSemiMixedTypes="0" containsString="0" containsNumber="1" containsInteger="1" minValue="5" maxValue="409100" count="120">
        <n v="5"/>
        <n v="13"/>
        <n v="21"/>
        <n v="24"/>
        <n v="32"/>
        <n v="33"/>
        <n v="39"/>
        <n v="42"/>
        <n v="58"/>
        <n v="67"/>
        <n v="68"/>
        <n v="80"/>
        <n v="96"/>
        <n v="100"/>
        <n v="109"/>
        <n v="124"/>
        <n v="127"/>
        <n v="140"/>
        <n v="162"/>
        <n v="200"/>
        <n v="205"/>
        <n v="289"/>
        <n v="318"/>
        <n v="336"/>
        <n v="400"/>
        <n v="480"/>
        <n v="544"/>
        <n v="700"/>
        <n v="732"/>
        <n v="772"/>
        <n v="780"/>
        <n v="800"/>
        <n v="905"/>
        <n v="963"/>
        <n v="1003"/>
        <n v="1040"/>
        <n v="1195"/>
        <n v="1200"/>
        <n v="1664"/>
        <n v="2000"/>
        <n v="2355"/>
        <n v="3448"/>
        <n v="4000"/>
        <n v="4150"/>
        <n v="5000"/>
        <n v="5014"/>
        <n v="6000"/>
        <n v="8000"/>
        <n v="8401"/>
        <n v="10000"/>
        <n v="10300"/>
        <n v="11255"/>
        <n v="12500"/>
        <n v="12995"/>
        <n v="13024"/>
        <n v="15000"/>
        <n v="15172"/>
        <n v="16648"/>
        <n v="17000"/>
        <n v="18000"/>
        <n v="18005"/>
        <n v="19000"/>
        <n v="20000"/>
        <n v="20200"/>
        <n v="21000"/>
        <n v="22000"/>
        <n v="24990"/>
        <n v="25000"/>
        <n v="25077"/>
        <n v="25320"/>
        <n v="25395"/>
        <n v="25545"/>
        <n v="25723"/>
        <n v="25822"/>
        <n v="26266"/>
        <n v="29528"/>
        <n v="30000"/>
        <n v="32500"/>
        <n v="33320"/>
        <n v="33462"/>
        <n v="36000"/>
        <n v="38000"/>
        <n v="39080"/>
        <n v="39960"/>
        <n v="40000"/>
        <n v="41535"/>
        <n v="41650"/>
        <n v="41700"/>
        <n v="48372"/>
        <n v="49250"/>
        <n v="50000"/>
        <n v="50040"/>
        <n v="54690"/>
        <n v="54780"/>
        <n v="58155"/>
        <n v="58750"/>
        <n v="60040"/>
        <n v="60850"/>
        <n v="62864"/>
        <n v="70500"/>
        <n v="72970"/>
        <n v="75003"/>
        <n v="75012"/>
        <n v="76636"/>
        <n v="82500"/>
        <n v="83300"/>
        <n v="83586"/>
        <n v="100000"/>
        <n v="110000"/>
        <n v="115000"/>
        <n v="118495"/>
        <n v="130000"/>
        <n v="132000"/>
        <n v="153000"/>
        <n v="161000"/>
        <n v="170000"/>
        <n v="190000"/>
        <n v="200000"/>
        <n v="365000"/>
        <n v="409100"/>
      </sharedItems>
    </cacheField>
    <cacheField name="COMPONENT" numFmtId="0">
      <sharedItems count="4">
        <s v="Agroforesrtry"/>
        <s v="Agroforestry"/>
        <s v="Reforestarion"/>
        <s v="Reforestation"/>
      </sharedItems>
    </cacheField>
    <cacheField name="COMMODITY (if mixed,specify all commodities within the contracted Site)" numFmtId="0">
      <sharedItems count="25">
        <s v="Agroforestry"/>
        <s v="Bamboo"/>
        <s v="Cacao"/>
        <s v="Cacao,Fruit trees"/>
        <s v="Coffee"/>
        <s v="Coffee,Fruit trees"/>
        <s v="Coffee,Fruit trees,Timber"/>
        <s v="Coffee,Fuelwood"/>
        <s v="Coffee,Fuelwood,Timber"/>
        <s v="Coffee,Timber"/>
        <s v="Fruit trees"/>
        <s v="Fruit trees, Timber"/>
        <s v="Fruit trees,Cacao,Timber"/>
        <s v="Fruit trees,Fuelwood,Timber"/>
        <s v="Fruit trees,Timber"/>
        <s v="Fuelwood"/>
        <s v="Fuelwood,Narra"/>
        <s v="Fuelwood,Timber"/>
        <s v="Fuewood,Timber"/>
        <s v="Fulewood"/>
        <s v="HVFT,Fruit trees,Timber"/>
        <s v="Ilang ilang"/>
        <s v="Indigeneous"/>
        <s v="Timber"/>
        <s v="Urban"/>
      </sharedItems>
    </cacheField>
    <cacheField name="SPECIES TO BE PLANTED" numFmtId="0">
      <sharedItems containsBlank="1" count="90">
        <s v="Alibangbang,Banaba,Cacao,Coffee,Eucalyptus,Gmelina,Guyabano,Kasoy,Mahogany,Nangka,Narra,Tamarind,Rain tree"/>
        <s v="Alibangbang,Bignai,Gmelina,Kamagong,Kasoy,Narra"/>
        <s v="Alibangbang,Coffee,Eucalyptus,Gmelina,Kasoy,Mahogany,Nangka,Narra"/>
        <s v="Alibangbang,Coffee,Fringon,Eucalyptus,Narra"/>
        <s v="Alibangbang,Eucalyptus,Fringon,Ipil-ipil,Narra"/>
        <s v="Alibangbang,Eucalyptus,Narra"/>
        <s v="Alibangbang,Fringon,Gmelina,Ipil-ipil,Kakawate,Narra"/>
        <s v="Alibangbang,Gmelina,Narra"/>
        <s v="Alibangbang,Narra"/>
        <s v="Alnus,Citrus,Coffee,Guyabano,Kaimito,Nangka,Narra,Mango,Pomelo,Rambutan"/>
        <s v="Alnus,Coffee"/>
        <s v="Alnus,Coffee,Citrus,Tuai,Narra"/>
        <s v="Alnus,Gmelina,Ipil-ipil,Narra"/>
        <s v="Alnus,Gmelina,Narra"/>
        <s v="Alnus,Narra"/>
        <s v="Anchoan dilaw,Gmelina,Ipil-ipil,Kakawate"/>
        <s v="Atis,Cacao,Narra"/>
        <s v="Atis,Duhat,Guyabano,Narra"/>
        <s v="Atis,Mahogany"/>
        <s v="Avocado,Duhat,Nangka"/>
        <s v="B.Pine"/>
        <s v="Bamboo"/>
        <s v="Banaba,Bignai,Cacao,Coffee,Kasoy,Mahogany,Nangka,Narra"/>
        <s v="Banaba,Ilang-ilang"/>
        <s v="Banaba,Narra,Mahogany"/>
        <s v="Banaba,Narra,Rain tree"/>
        <s v="Bayabas,Duhat,Guyabano,Tamarind"/>
        <s v="Bayog"/>
        <s v="Benguet pine,Gmelina,Narra"/>
        <s v="Bignai, Batino, Calumpit, Molave, Palosapis"/>
        <s v="Bignai,Duhat,Santol,Tamarind"/>
        <s v="Cacao"/>
        <s v="Cacao,Coffee,Duhat,Kasoy"/>
        <s v="Cacao,Coffee,Kasoy,Mahonagy,Nangka,Narra"/>
        <s v="Cacao,Duhat,Guyabano,Kasoy,Nangka,Mango,Santol,Tamarind"/>
        <s v="Coffee"/>
        <s v="Coffee, Gmeline, Narra"/>
        <s v="Coffee,Duhat"/>
        <s v="Coffee,Duhat,Gmelina,Kasoy,Nangka,Narra,Mahogany"/>
        <s v="Coffee,Duhat,Guyabano,Kasoy,Nangka"/>
        <s v="Coffee,Duhat,Mahogany,Narra,Nangka"/>
        <s v="Coffee,Duhat,Narra"/>
        <s v="Coffee,Gmelina,Mahogany,Nangka,Narra"/>
        <s v="Coffee,Mahogany,Nangka,Narra"/>
        <s v="Coffee,Narra"/>
        <s v="Duhat"/>
        <s v="Duhat,Eucalyptus,Narra"/>
        <s v="Duhat,Guyabano,Mahogany,Narra,Rain tree"/>
        <s v="Duhat,Guyabano,Narra"/>
        <s v="Duhat,Guyabano,Narra,Tamarind"/>
        <s v="Duhat,Kasoy,Mahogany,Narra"/>
        <s v="Duhat,Nangka"/>
        <s v="Duhat,Narra"/>
        <s v="Duhat,Tamarind"/>
        <s v="Eucalyptus,Fringon,Gmelina,Ipil-ipil,Kakawate"/>
        <s v="Eucalyptus,Gmelina"/>
        <s v="Eucalyptus,Gmelina,Narra"/>
        <s v="Eucalyptus,Narra"/>
        <s v="Fringon"/>
        <s v="Fringon,Gmelina,Kakawate,Ipil-ipil"/>
        <s v="Fringon,Ipil-ipil"/>
        <s v="Fringon,Ipil-ipil,Kakawate"/>
        <s v="Gmelina,Eucalyptus,Narra"/>
        <s v="Gmelina,Ipil-ipil,Kakawate,Rain tree"/>
        <s v="Gmelina,Kasoy, Mahogany,Mango,Narra"/>
        <s v="Gmelina,Kasoy,Narra"/>
        <s v="Gmelina,Mahogany,Narra"/>
        <s v="Gmelina,Narra"/>
        <s v="Gmelina,Narra,Mahogany"/>
        <s v="Gmelina,Narra,Rain tree"/>
        <s v="Guyabano,Narra"/>
        <s v="Ilang ilang"/>
        <s v="Ilang ilang,Banaba"/>
        <s v="Ipil-ipil"/>
        <s v="Ipil-ipil,Kakawate"/>
        <s v="Ipil-ipil,Mahogany"/>
        <s v="Kakawate,Ipil-ipil,Rain tree"/>
        <s v="Kasoy,Narra"/>
        <s v="Mahogany"/>
        <s v="Narra"/>
        <s v="Narra, Eucalyptus, Tamarind"/>
        <s v="Narra,Mahogany"/>
        <s v="Narra,Rain tree"/>
        <s v="Narra,Rain tree,Tamarind"/>
        <s v="Narra,Tamarind"/>
        <s v="Rain tree"/>
        <s v="Rain tree,Tamarind"/>
        <s v="Tamarind"/>
        <s v="Tamarind,Rain tree"/>
        <m/>
      </sharedItems>
    </cacheField>
    <cacheField name="PROJECT COST (3 YEARS)" numFmtId="0">
      <sharedItems containsString="0" containsBlank="1" containsNumber="1" minValue="3000" maxValue="6935000" count="111">
        <n v="3000"/>
        <n v="17000"/>
        <n v="18000"/>
        <n v="27000"/>
        <n v="36000"/>
        <n v="90000"/>
        <n v="95833"/>
        <n v="120000"/>
        <n v="123825"/>
        <n v="127532.91"/>
        <n v="127778"/>
        <n v="248242.95"/>
        <n v="250000"/>
        <n v="250377.57"/>
        <n v="260000"/>
        <n v="287876"/>
        <n v="290000"/>
        <n v="320000"/>
        <n v="345770"/>
        <n v="375000"/>
        <n v="384000"/>
        <n v="400000"/>
        <n v="412000"/>
        <n v="440000"/>
        <n v="475000"/>
        <n v="477420"/>
        <n v="534830"/>
        <n v="540000"/>
        <n v="550000"/>
        <n v="560000"/>
        <n v="562500"/>
        <n v="585000"/>
        <n v="621967"/>
        <n v="625000"/>
        <n v="627687.57"/>
        <n v="636560"/>
        <n v="637696"/>
        <n v="648020"/>
        <n v="674400"/>
        <n v="700000"/>
        <n v="719000"/>
        <n v="720000"/>
        <n v="724752.9"/>
        <n v="733000"/>
        <n v="750050"/>
        <n v="756000"/>
        <n v="760000"/>
        <n v="795700"/>
        <n v="796100"/>
        <n v="805281"/>
        <n v="810025"/>
        <n v="820000"/>
        <n v="830100"/>
        <n v="850000"/>
        <n v="850050"/>
        <n v="856647"/>
        <n v="886500"/>
        <n v="900000"/>
        <n v="920600"/>
        <n v="923476"/>
        <n v="950000"/>
        <n v="955320"/>
        <n v="975000"/>
        <n v="1015520"/>
        <n v="1018000"/>
        <n v="1100000"/>
        <n v="1125000"/>
        <n v="1161000"/>
        <n v="1181000"/>
        <n v="1194600"/>
        <n v="1264500"/>
        <n v="1345000"/>
        <n v="1368000"/>
        <n v="1375000"/>
        <n v="1400000"/>
        <n v="1414000"/>
        <n v="1450000"/>
        <n v="1500000"/>
        <n v="1513120"/>
        <n v="1530000"/>
        <n v="1614000"/>
        <n v="1720200"/>
        <n v="1744775.5"/>
        <n v="1769520"/>
        <n v="1800000"/>
        <n v="1809088"/>
        <n v="1820050"/>
        <n v="1825000"/>
        <n v="1891400"/>
        <n v="1950000"/>
        <n v="1968000"/>
        <n v="1980000"/>
        <n v="2024500"/>
        <n v="2041400"/>
        <n v="2088060"/>
        <n v="2150000"/>
        <n v="2158000"/>
        <n v="2463437.5"/>
        <n v="2463438"/>
        <n v="2475000"/>
        <n v="2550000"/>
        <n v="2624500"/>
        <n v="2850000"/>
        <n v="3000000"/>
        <n v="3230000"/>
        <n v="3372000"/>
        <n v="3800000"/>
        <n v="4485000"/>
        <n v="6135000"/>
        <n v="6935000"/>
        <m/>
      </sharedItems>
    </cacheField>
    <cacheField name="SEEDLING PRODUCTION" numFmtId="0">
      <sharedItems containsString="0" containsBlank="1" containsNumber="1" minValue="3000" maxValue="3650000" count="77">
        <n v="3000"/>
        <n v="6000"/>
        <n v="21000"/>
        <n v="31200"/>
        <n v="60000"/>
        <n v="72000"/>
        <n v="76800"/>
        <n v="117200"/>
        <n v="123552"/>
        <n v="140000"/>
        <n v="144000"/>
        <n v="146500"/>
        <n v="157500"/>
        <n v="175000"/>
        <n v="188000"/>
        <n v="199920"/>
        <n v="200000"/>
        <n v="210000"/>
        <n v="234400"/>
        <n v="250000"/>
        <n v="252000"/>
        <n v="262500"/>
        <n v="266500"/>
        <n v="266560"/>
        <n v="266880"/>
        <n v="280000"/>
        <n v="300000"/>
        <n v="302464.4994"/>
        <n v="333200"/>
        <n v="333600"/>
        <n v="335997"/>
        <n v="350000"/>
        <n v="367500"/>
        <n v="386976"/>
        <n v="388845.9"/>
        <n v="400320"/>
        <n v="424830"/>
        <n v="432051"/>
        <n v="437500"/>
        <n v="439500"/>
        <n v="440000"/>
        <n v="450000"/>
        <n v="463536"/>
        <n v="470000"/>
        <n v="479520"/>
        <n v="500000"/>
        <n v="505000"/>
        <n v="533120"/>
        <n v="564000"/>
        <n v="576068"/>
        <n v="586000"/>
        <n v="600000"/>
        <n v="604794.6"/>
        <n v="613088"/>
        <n v="625000"/>
        <n v="644600"/>
        <n v="665000"/>
        <n v="723640"/>
        <n v="750000"/>
        <n v="780000"/>
        <n v="792000"/>
        <n v="825000"/>
        <n v="875000"/>
        <n v="943460"/>
        <n v="950000"/>
        <n v="990000"/>
        <n v="1020000"/>
        <n v="1140000"/>
        <n v="1172000"/>
        <n v="1200000"/>
        <n v="1249500"/>
        <n v="1380000"/>
        <n v="1830000"/>
        <n v="2000000"/>
        <n v="2454000"/>
        <n v="3650000"/>
        <m/>
      </sharedItems>
    </cacheField>
    <cacheField name="Site Preparation and Development" numFmtId="0">
      <sharedItems containsSemiMixedTypes="0" containsString="0" containsNumber="1" minValue="25" maxValue="1227000" count="103">
        <n v="25"/>
        <n v="75"/>
        <n v="125"/>
        <n v="150"/>
        <n v="200"/>
        <n v="250"/>
        <n v="375"/>
        <n v="425"/>
        <n v="500"/>
        <n v="525"/>
        <n v="600"/>
        <n v="625"/>
        <n v="675"/>
        <n v="775"/>
        <n v="875"/>
        <n v="1025"/>
        <n v="1800"/>
        <n v="1975"/>
        <n v="2000"/>
        <n v="2100"/>
        <n v="2500"/>
        <n v="3000"/>
        <n v="3400"/>
        <n v="4000"/>
        <n v="4575"/>
        <n v="4825"/>
        <n v="4875"/>
        <n v="5000"/>
        <n v="6025"/>
        <n v="6274.99999999999"/>
        <n v="7475"/>
        <n v="7500"/>
        <n v="10400"/>
        <n v="12500"/>
        <n v="14000"/>
        <n v="20800"/>
        <n v="25075"/>
        <n v="40000"/>
        <n v="52500"/>
        <n v="57500"/>
        <n v="58500"/>
        <n v="62500"/>
        <n v="65000"/>
        <n v="68640"/>
        <n v="75000"/>
        <n v="80000"/>
        <n v="90000"/>
        <n v="97500"/>
        <n v="100000"/>
        <n v="110500"/>
        <n v="125000"/>
        <n v="126975"/>
        <n v="127500"/>
        <n v="128625"/>
        <n v="129100"/>
        <n v="130000"/>
        <n v="130100"/>
        <n v="136500"/>
        <n v="147650"/>
        <n v="150000"/>
        <n v="160000"/>
        <n v="162500"/>
        <n v="168000"/>
        <n v="173907"/>
        <n v="176000"/>
        <n v="180000"/>
        <n v="180040"/>
        <n v="188500"/>
        <n v="193230"/>
        <n v="195000"/>
        <n v="200000"/>
        <n v="207500"/>
        <n v="232000"/>
        <n v="240000"/>
        <n v="247000"/>
        <n v="257640"/>
        <n v="260000"/>
        <n v="270000"/>
        <n v="290775"/>
        <n v="299000"/>
        <n v="300000"/>
        <n v="303000"/>
        <n v="304250"/>
        <n v="315000"/>
        <n v="322050"/>
        <n v="325000"/>
        <n v="360000"/>
        <n v="390000"/>
        <n v="396000"/>
        <n v="400000"/>
        <n v="418665"/>
        <n v="440000"/>
        <n v="445050"/>
        <n v="510000"/>
        <n v="570000"/>
        <n v="600000"/>
        <n v="644000"/>
        <n v="660000"/>
        <n v="800000"/>
        <n v="920000"/>
        <n v="1095000"/>
        <n v="1220000"/>
        <n v="1227000"/>
      </sharedItems>
    </cacheField>
    <cacheField name="Poles and Signages Cost" numFmtId="0">
      <sharedItems count="9">
        <s v="10,000.00"/>
        <s v="20,000.00"/>
        <s v="25,000.00"/>
        <s v="29,000.00"/>
        <s v="30,000.00"/>
        <s v="38,000.00"/>
        <s v="46,000.00"/>
        <s v="50,000.00"/>
        <s v="N/A"/>
      </sharedItems>
    </cacheField>
    <cacheField name="YEAR 1 COST" numFmtId="0">
      <sharedItems containsString="0" containsBlank="1" containsNumber="1" containsInteger="1" minValue="500" maxValue="2800000" count="88">
        <n v="500"/>
        <n v="1000"/>
        <n v="3500"/>
        <n v="5200"/>
        <n v="10000"/>
        <n v="17160"/>
        <n v="20000"/>
        <n v="25000"/>
        <n v="40000"/>
        <n v="42000"/>
        <n v="44000"/>
        <n v="45010"/>
        <n v="50000"/>
        <n v="75000"/>
        <n v="80000"/>
        <n v="90000"/>
        <n v="100000"/>
        <n v="110000"/>
        <n v="125000"/>
        <n v="151317"/>
        <n v="161000"/>
        <n v="178020"/>
        <n v="197876"/>
        <n v="200000"/>
        <n v="200907"/>
        <n v="222525"/>
        <n v="223230"/>
        <n v="232000"/>
        <n v="240000"/>
        <n v="250000"/>
        <n v="260000"/>
        <n v="297640"/>
        <n v="327420"/>
        <n v="360000"/>
        <n v="362500"/>
        <n v="370000"/>
        <n v="372050"/>
        <n v="376000"/>
        <n v="390000"/>
        <n v="400000"/>
        <n v="404000"/>
        <n v="412000"/>
        <n v="435000"/>
        <n v="436560"/>
        <n v="437696"/>
        <n v="438000"/>
        <n v="445050"/>
        <n v="450000"/>
        <n v="455100"/>
        <n v="456500"/>
        <n v="461500"/>
        <n v="483665"/>
        <n v="500000"/>
        <n v="520000"/>
        <n v="528000"/>
        <n v="534060"/>
        <n v="545700"/>
        <n v="546000"/>
        <n v="546100"/>
        <n v="560000"/>
        <n v="580000"/>
        <n v="600000"/>
        <n v="616000"/>
        <n v="633476"/>
        <n v="650000"/>
        <n v="655320"/>
        <n v="660000"/>
        <n v="676000"/>
        <n v="680000"/>
        <n v="725000"/>
        <n v="760000"/>
        <n v="910200"/>
        <n v="920000"/>
        <n v="988000"/>
        <n v="1000000"/>
        <n v="1014000"/>
        <n v="1050088"/>
        <n v="1220000"/>
        <n v="1225000"/>
        <n v="1300000"/>
        <n v="1320050"/>
        <n v="1460000"/>
        <n v="1636000"/>
        <n v="1641400"/>
        <n v="1800000"/>
        <n v="2310000"/>
        <n v="2800000"/>
        <m/>
      </sharedItems>
    </cacheField>
    <cacheField name="YEAR 2 COST" numFmtId="0">
      <sharedItems containsString="0" containsBlank="1" containsNumber="1" minValue="2000" maxValue="1227000" count="64">
        <n v="2000"/>
        <n v="4000"/>
        <n v="14000"/>
        <n v="20800"/>
        <n v="40000"/>
        <n v="45000"/>
        <n v="50000"/>
        <n v="63437.5"/>
        <n v="68640"/>
        <n v="73825"/>
        <n v="75000"/>
        <n v="76594.91"/>
        <n v="76778"/>
        <n v="80000"/>
        <n v="81000"/>
        <n v="85000"/>
        <n v="90000"/>
        <n v="100000"/>
        <n v="105000"/>
        <n v="120000"/>
        <n v="125000"/>
        <n v="145000"/>
        <n v="148092.95"/>
        <n v="149687.57"/>
        <n v="150000"/>
        <n v="153000"/>
        <n v="160000"/>
        <n v="168000"/>
        <n v="174000"/>
        <n v="176000"/>
        <n v="180000"/>
        <n v="180040"/>
        <n v="190000"/>
        <n v="195000"/>
        <n v="200000"/>
        <n v="210000"/>
        <n v="225000"/>
        <n v="250000"/>
        <n v="265770"/>
        <n v="270000"/>
        <n v="300000"/>
        <n v="303000"/>
        <n v="324830"/>
        <n v="327000"/>
        <n v="348000"/>
        <n v="360000"/>
        <n v="371248"/>
        <n v="390000"/>
        <n v="396000"/>
        <n v="400000"/>
        <n v="440000"/>
        <n v="483000"/>
        <n v="486000"/>
        <n v="495000"/>
        <n v="510000"/>
        <n v="570000"/>
        <n v="600000"/>
        <n v="644000"/>
        <n v="690000"/>
        <n v="800000"/>
        <n v="915000"/>
        <n v="1095000"/>
        <n v="1227000"/>
        <m/>
      </sharedItems>
    </cacheField>
    <cacheField name="YEAR 3 COST" numFmtId="0">
      <sharedItems containsString="0" containsBlank="1" containsNumber="1" containsInteger="1" minValue="1000" maxValue="818000" count="58">
        <n v="1000"/>
        <n v="2000"/>
        <n v="7000"/>
        <n v="10400"/>
        <n v="20000"/>
        <n v="20600"/>
        <n v="25000"/>
        <n v="25938"/>
        <n v="26000"/>
        <n v="34320"/>
        <n v="40000"/>
        <n v="45000"/>
        <n v="50000"/>
        <n v="50150"/>
        <n v="50690"/>
        <n v="54000"/>
        <n v="60000"/>
        <n v="75000"/>
        <n v="80000"/>
        <n v="84000"/>
        <n v="85000"/>
        <n v="88000"/>
        <n v="90000"/>
        <n v="90020"/>
        <n v="100000"/>
        <n v="102000"/>
        <n v="105000"/>
        <n v="110000"/>
        <n v="116000"/>
        <n v="120000"/>
        <n v="125000"/>
        <n v="125719"/>
        <n v="130000"/>
        <n v="145000"/>
        <n v="150000"/>
        <n v="180000"/>
        <n v="190000"/>
        <n v="200000"/>
        <n v="202000"/>
        <n v="218000"/>
        <n v="220000"/>
        <n v="232000"/>
        <n v="250000"/>
        <n v="260000"/>
        <n v="264000"/>
        <n v="276000"/>
        <n v="300000"/>
        <n v="322000"/>
        <n v="324000"/>
        <n v="330000"/>
        <n v="340000"/>
        <n v="380000"/>
        <n v="400000"/>
        <n v="460000"/>
        <n v="610000"/>
        <n v="730000"/>
        <n v="818000"/>
        <m/>
      </sharedItems>
    </cacheField>
    <cacheField name="ACTUAL GROSS AMOUNT PAID (FROM YEAR 1 to 4)" numFmtId="0">
      <sharedItems containsString="0" containsBlank="1" containsNumber="1" minValue="81000" maxValue="2041400" count="37">
        <n v="81000"/>
        <n v="123825"/>
        <n v="127532.91"/>
        <n v="127778"/>
        <n v="250377.57"/>
        <n v="260000"/>
        <n v="287876"/>
        <n v="477420"/>
        <n v="520000"/>
        <n v="534830"/>
        <n v="540000"/>
        <n v="562500"/>
        <n v="585000"/>
        <n v="621967"/>
        <n v="636560"/>
        <n v="637696"/>
        <n v="721500"/>
        <n v="756000"/>
        <n v="795700"/>
        <n v="796100"/>
        <n v="900000"/>
        <n v="920600"/>
        <n v="923476"/>
        <n v="955320"/>
        <n v="975000"/>
        <n v="988000"/>
        <n v="1125000"/>
        <n v="1345000"/>
        <n v="1500000"/>
        <n v="1614000"/>
        <n v="1769520"/>
        <n v="1800000"/>
        <n v="1820050"/>
        <n v="1891400"/>
        <n v="2024500"/>
        <n v="2041400"/>
        <m/>
      </sharedItems>
    </cacheField>
    <cacheField name="DATE OF EXECUTION OF CONTRACT (MM/DD/YR) 15 DAYS UPON ISSUANCE OF NTP)" numFmtId="0">
      <sharedItems containsNonDate="0" containsDate="1" containsString="0" containsBlank="1" minDate="2012-02-07T00:00:00" maxDate="2022-03-25T00:00:00" count="47">
        <d v="2012-02-07T00:00:00"/>
        <d v="2012-04-24T00:00:00"/>
        <d v="2012-07-02T00:00:00"/>
        <d v="2013-03-18T00:00:00"/>
        <d v="2014-03-25T00:00:00"/>
        <d v="2014-06-10T00:00:00"/>
        <d v="2014-06-18T00:00:00"/>
        <d v="2014-06-25T00:00:00"/>
        <d v="2014-07-08T00:00:00"/>
        <d v="2014-07-09T00:00:00"/>
        <d v="2014-11-06T00:00:00"/>
        <d v="2015-02-25T00:00:00"/>
        <d v="2015-03-24T00:00:00"/>
        <d v="2015-03-25T00:00:00"/>
        <d v="2015-03-27T00:00:00"/>
        <d v="2015-03-28T00:00:00"/>
        <d v="2015-03-29T00:00:00"/>
        <d v="2015-03-30T00:00:00"/>
        <d v="2015-03-31T00:00:00"/>
        <d v="2015-04-01T00:00:00"/>
        <d v="2015-04-07T00:00:00"/>
        <d v="2015-04-14T00:00:00"/>
        <d v="2015-05-05T00:00:00"/>
        <d v="2015-05-15T00:00:00"/>
        <d v="2015-05-20T00:00:00"/>
        <d v="2015-05-24T00:00:00"/>
        <d v="2015-05-25T00:00:00"/>
        <d v="2015-05-27T00:00:00"/>
        <d v="2016-03-10T00:00:00"/>
        <d v="2016-03-17T00:00:00"/>
        <d v="2016-05-17T00:00:00"/>
        <d v="2016-05-25T00:00:00"/>
        <d v="2017-03-10T00:00:00"/>
        <d v="2017-03-13T00:00:00"/>
        <d v="2017-03-16T00:00:00"/>
        <d v="2017-03-28T00:00:00"/>
        <d v="2017-03-29T00:00:00"/>
        <d v="2017-03-30T00:00:00"/>
        <d v="2017-04-10T00:00:00"/>
        <d v="2018-02-22T00:00:00"/>
        <d v="2018-02-23T00:00:00"/>
        <d v="2018-02-28T00:00:00"/>
        <d v="2019-06-20T00:00:00"/>
        <d v="2020-03-12T00:00:00"/>
        <d v="2020-07-23T00:00:00"/>
        <d v="2022-03-25T00:00:00"/>
        <m/>
      </sharedItems>
    </cacheField>
    <cacheField name="DATE OF EXPIRY OF CONTRACT (END DATE AT YEAR 3)" numFmtId="0">
      <sharedItems containsNonDate="0" containsDate="1" containsString="0" containsBlank="1" minDate="2013-12-31T00:00:00" maxDate="2025-12-30T00:00:00" count="13">
        <d v="2013-12-31T00:00:00"/>
        <d v="2014-12-31T00:00:00"/>
        <d v="2015-12-31T00:00:00"/>
        <d v="2016-12-31T00:00:00"/>
        <d v="2017-12-31T00:00:00"/>
        <d v="2018-12-31T00:00:00"/>
        <d v="2019-12-31T00:00:00"/>
        <d v="2020-12-31T00:00:00"/>
        <d v="2022-12-31T00:00:00"/>
        <d v="2023-12-31T00:00:00"/>
        <d v="2024-12-31T00:00:00"/>
        <d v="2025-12-30T00:00:00"/>
        <m/>
      </sharedItems>
    </cacheField>
    <cacheField name="NO. OF SITE/S OR POLYGON COVERED" numFmtId="0">
      <sharedItems containsSemiMixedTypes="0" containsString="0" containsNumber="1" containsInteger="1" minValue="1" maxValue="1" count="1">
        <n v="1"/>
      </sharedItems>
    </cacheField>
    <cacheField name="RETENTION FEE at 3rd YEAR (Amount paid)" numFmtId="0">
      <sharedItems containsString="0" containsBlank="1" containsNumber="1" minValue="49280" maxValue="285000" count="8">
        <n v="49280"/>
        <n v="80528.1"/>
        <n v="134500"/>
        <n v="161400"/>
        <n v="182005"/>
        <n v="204140"/>
        <n v="285000"/>
        <m/>
      </sharedItems>
    </cacheField>
    <cacheField name="RETENTION FEE at 3rd YEAR (Date paid)" numFmtId="0">
      <sharedItems containsNonDate="0" containsDate="1" containsString="0" containsBlank="1" minDate="1899-12-30T00:00:00" maxDate="2025-12-22T00:00:00" count="19">
        <d v="1899-12-30T00:00:00"/>
        <d v="2016-11-02T00:00:00"/>
        <d v="2016-12-01T00:00:00"/>
        <d v="2016-12-21T00:00:00"/>
        <d v="2016-12-28T00:00:00"/>
        <d v="2019-07-11T00:00:00"/>
        <d v="2019-12-13T00:00:00"/>
        <d v="2019-12-16T00:00:00"/>
        <d v="2019-12-23T00:00:00"/>
        <d v="2020-08-17T00:00:00"/>
        <d v="2021-06-21T00:00:00"/>
        <d v="2021-06-28T00:00:00"/>
        <d v="2021-06-29T00:00:00"/>
        <d v="2021-07-05T00:00:00"/>
        <d v="2025-07-10T00:00:00"/>
        <d v="2025-07-11T00:00:00"/>
        <d v="2025-08-05T00:00:00"/>
        <d v="2025-12-22T00:00:00"/>
        <m/>
      </sharedItems>
    </cacheField>
    <cacheField name="AMOUNT STILL IN CIP" numFmtId="0">
      <sharedItems containsString="0" containsBlank="1" containsNumber="1" minValue="0" maxValue="2450000" count="36">
        <n v="0"/>
        <n v="250000"/>
        <n v="260000"/>
        <n v="287876"/>
        <n v="310000"/>
        <n v="447420"/>
        <n v="520000"/>
        <n v="540000"/>
        <n v="636560"/>
        <n v="637696"/>
        <n v="675000"/>
        <n v="719520"/>
        <n v="756000"/>
        <n v="778476"/>
        <n v="795700"/>
        <n v="796100"/>
        <n v="900000"/>
        <n v="950000"/>
        <n v="955320"/>
        <n v="988000"/>
        <n v="1000000"/>
        <n v="1125000"/>
        <n v="1219520"/>
        <n v="1270000"/>
        <n v="1400000"/>
        <n v="1500000"/>
        <n v="1539542.5"/>
        <n v="1614000"/>
        <n v="1650000"/>
        <n v="1700000"/>
        <n v="1800000"/>
        <n v="1820050"/>
        <n v="2041400"/>
        <n v="2124500"/>
        <n v="2450000"/>
        <m/>
      </sharedItems>
    </cacheField>
    <cacheField name="AMOUNT UNDER LAND IMPROVEMENT" numFmtId="0">
      <sharedItems containsString="0" containsBlank="1" containsNumber="1" minValue="0" maxValue="15050000" count="34">
        <n v="0"/>
        <n v="40000"/>
        <n v="100000"/>
        <n v="128000"/>
        <n v="150000"/>
        <n v="180000"/>
        <n v="202000"/>
        <n v="290000"/>
        <n v="310000"/>
        <n v="322000"/>
        <n v="440000"/>
        <n v="500000"/>
        <n v="550000"/>
        <n v="562500"/>
        <n v="650000"/>
        <n v="724752.9"/>
        <n v="750000"/>
        <n v="805281"/>
        <n v="825000"/>
        <n v="850000"/>
        <n v="1073708"/>
        <n v="1125000"/>
        <n v="1150000"/>
        <n v="1414000"/>
        <n v="1450000"/>
        <n v="1470000"/>
        <n v="1575000"/>
        <n v="1744775.5"/>
        <n v="2024500"/>
        <n v="2035000"/>
        <n v="2041400"/>
        <n v="2850000"/>
        <n v="15050000"/>
        <m/>
      </sharedItems>
    </cacheField>
    <cacheField name="DATE OF ACTUAL TURN-OVER OF THE PROJECT TO DENR" numFmtId="0">
      <sharedItems containsBlank="1" count="2">
        <s v="Not yet turn-over"/>
        <m/>
      </sharedItems>
    </cacheField>
    <cacheField name="TURN-OVER OF THE PROJECT TO THE PO OR OTHER PARTNERS WITH MANAGEMENT ARRANGEMENT" numFmtId="0">
      <sharedItems containsNonDate="0" containsDate="1" containsString="0" containsBlank="1" minDate="2012-02-02T00:00:00" maxDate="2020-12-07T00:00:00" count="37">
        <d v="2012-02-02T00:00:00"/>
        <d v="2012-04-30T00:00:00"/>
        <d v="2013-03-09T00:00:00"/>
        <d v="2013-07-23T00:00:00"/>
        <d v="2014-06-10T00:00:00"/>
        <d v="2014-06-11T00:00:00"/>
        <d v="2014-06-25T00:00:00"/>
        <d v="2014-07-07T00:00:00"/>
        <d v="2014-07-09T00:00:00"/>
        <d v="2014-10-06T00:00:00"/>
        <d v="2014-11-06T00:00:00"/>
        <d v="2015-02-10T00:00:00"/>
        <d v="2015-02-15T00:00:00"/>
        <d v="2015-02-20T00:00:00"/>
        <d v="2015-03-05T00:00:00"/>
        <d v="2015-03-14T00:00:00"/>
        <d v="2015-03-16T00:00:00"/>
        <d v="2015-03-30T00:00:00"/>
        <d v="2016-02-01T00:00:00"/>
        <d v="2016-02-29T00:00:00"/>
        <d v="2017-02-28T00:00:00"/>
        <d v="2017-03-08T00:00:00"/>
        <d v="2017-03-26T00:00:00"/>
        <d v="2017-03-28T00:00:00"/>
        <d v="2017-03-29T00:00:00"/>
        <d v="2017-03-31T00:00:00"/>
        <d v="2017-04-20T00:00:00"/>
        <d v="2018-02-23T00:00:00"/>
        <d v="2018-07-17T00:00:00"/>
        <d v="2019-08-05T00:00:00"/>
        <d v="2019-08-19T00:00:00"/>
        <d v="2019-11-21T00:00:00"/>
        <d v="2020-02-24T00:00:00"/>
        <d v="2020-03-06T00:00:00"/>
        <d v="2020-06-22T00:00:00"/>
        <d v="2020-12-07T00:00:00"/>
        <m/>
      </sharedItems>
    </cacheField>
    <cacheField name="DATE OF PERFORMANCE VALIDATION REPORT (IAC REPORT)" numFmtId="0">
      <sharedItems containsNonDate="0" containsDate="1" containsString="0" containsBlank="1" minDate="2004-10-30T00:00:00" maxDate="2025-11-21T00:00:00" count="111">
        <d v="2004-10-30T00:00:00"/>
        <d v="2013-08-27T00:00:00"/>
        <d v="2013-09-05T00:00:00"/>
        <d v="2013-12-05T00:00:00"/>
        <d v="2013-12-06T00:00:00"/>
        <d v="2013-12-13T00:00:00"/>
        <d v="2014-08-23T00:00:00"/>
        <d v="2014-08-30T00:00:00"/>
        <d v="2014-09-06T00:00:00"/>
        <d v="2014-09-19T00:00:00"/>
        <d v="2014-09-20T00:00:00"/>
        <d v="2014-10-02T00:00:00"/>
        <d v="2014-10-09T00:00:00"/>
        <d v="2014-10-10T00:00:00"/>
        <d v="2014-10-28T00:00:00"/>
        <d v="2014-10-29T00:00:00"/>
        <d v="2014-11-04T00:00:00"/>
        <d v="2014-11-05T00:00:00"/>
        <d v="2014-11-07T00:00:00"/>
        <d v="2015-10-15T00:00:00"/>
        <d v="2015-10-16T00:00:00"/>
        <d v="2015-10-17T00:00:00"/>
        <d v="2015-10-21T00:00:00"/>
        <d v="2015-10-27T00:00:00"/>
        <d v="2015-10-28T00:00:00"/>
        <d v="2015-10-29T00:00:00"/>
        <d v="2015-10-30T00:00:00"/>
        <d v="2015-11-11T00:00:00"/>
        <d v="2015-11-17T00:00:00"/>
        <d v="2015-11-18T00:00:00"/>
        <d v="2015-11-19T00:00:00"/>
        <d v="2015-11-20T00:00:00"/>
        <d v="2016-09-29T00:00:00"/>
        <d v="2016-11-09T00:00:00"/>
        <d v="2016-11-10T00:00:00"/>
        <d v="2016-11-15T00:00:00"/>
        <d v="2016-11-16T00:00:00"/>
        <d v="2016-11-17T00:00:00"/>
        <d v="2016-11-18T00:00:00"/>
        <d v="2016-11-24T00:00:00"/>
        <d v="2016-11-25T00:00:00"/>
        <d v="2017-10-12T00:00:00"/>
        <d v="2017-10-13T00:00:00"/>
        <d v="2017-10-18T00:00:00"/>
        <d v="2017-10-19T00:00:00"/>
        <d v="2017-10-20T00:00:00"/>
        <d v="2017-11-03T00:00:00"/>
        <d v="2017-11-09T00:00:00"/>
        <d v="2017-11-10T00:00:00"/>
        <d v="2017-11-11T00:00:00"/>
        <d v="2018-10-24T00:00:00"/>
        <d v="2018-11-08T00:00:00"/>
        <d v="2018-11-16T00:00:00"/>
        <d v="2018-11-27T00:00:00"/>
        <d v="2018-12-04T00:00:00"/>
        <d v="2019-09-04T00:00:00"/>
        <d v="2019-09-05T00:00:00"/>
        <d v="2019-09-10T00:00:00"/>
        <d v="2019-09-12T00:00:00"/>
        <d v="2019-09-20T00:00:00"/>
        <d v="2019-09-28T00:00:00"/>
        <d v="2019-10-01T00:00:00"/>
        <d v="2019-10-02T00:00:00"/>
        <d v="2019-10-10T00:00:00"/>
        <d v="2019-10-11T00:00:00"/>
        <d v="2019-10-17T00:00:00"/>
        <d v="2019-10-19T00:00:00"/>
        <d v="2019-10-29T00:00:00"/>
        <d v="2019-10-30T00:00:00"/>
        <d v="2019-11-14T00:00:00"/>
        <d v="2019-11-20T00:00:00"/>
        <d v="2019-11-21T00:00:00"/>
        <d v="2020-10-29T00:00:00"/>
        <d v="2020-10-30T00:00:00"/>
        <d v="2020-11-04T00:00:00"/>
        <d v="2020-11-06T00:00:00"/>
        <d v="2020-11-10T00:00:00"/>
        <d v="2020-11-13T00:00:00"/>
        <d v="2020-11-17T00:00:00"/>
        <d v="2020-11-18T00:00:00"/>
        <d v="2020-11-24T00:00:00"/>
        <d v="2020-11-27T00:00:00"/>
        <d v="2022-10-26T00:00:00"/>
        <d v="2022-10-27T00:00:00"/>
        <d v="2022-11-08T00:00:00"/>
        <d v="2022-11-09T00:00:00"/>
        <d v="2022-11-10T00:00:00"/>
        <d v="2022-11-11T00:00:00"/>
        <d v="2022-11-15T00:00:00"/>
        <d v="2022-11-16T00:00:00"/>
        <d v="2022-11-17T00:00:00"/>
        <d v="2022-11-18T00:00:00"/>
        <d v="2022-11-23T00:00:00"/>
        <d v="2022-11-24T00:00:00"/>
        <d v="2023-11-17T00:00:00"/>
        <d v="2023-11-18T00:00:00"/>
        <d v="2023-11-19T00:00:00"/>
        <d v="2023-11-21T00:00:00"/>
        <d v="2023-11-22T00:00:00"/>
        <d v="2023-11-23T00:00:00"/>
        <d v="2023-11-24T00:00:00"/>
        <d v="2023-11-28T00:00:00"/>
        <d v="2023-11-29T00:00:00"/>
        <d v="2023-12-07T00:00:00"/>
        <d v="2024-11-21T00:00:00"/>
        <d v="2024-11-27T00:00:00"/>
        <d v="2024-11-28T00:00:00"/>
        <d v="2025-11-19T00:00:00"/>
        <d v="2025-11-20T00:00:00"/>
        <d v="2025-11-21T00:00:00"/>
        <m/>
      </sharedItems>
    </cacheField>
    <cacheField name="SURVIVAL RATE ON THE 3RD YEAR" numFmtId="0">
      <sharedItems containsString="0" containsBlank="1" containsNumber="1" minValue="0.4081" maxValue="8.7396" count="124">
        <n v="0.4081"/>
        <n v="0.42"/>
        <n v="0.5842"/>
        <n v="0.5876"/>
        <n v="0.5925"/>
        <n v="0.6688"/>
        <n v="0.6886"/>
        <n v="0.697"/>
        <n v="0.7018"/>
        <n v="0.7024"/>
        <n v="0.81"/>
        <n v="0.8103"/>
        <n v="0.817"/>
        <n v="0.83"/>
        <n v="0.8497"/>
        <n v="0.85"/>
        <n v="0.8501"/>
        <n v="0.8502"/>
        <n v="0.8507"/>
        <n v="0.851"/>
        <n v="0.8511"/>
        <n v="0.8512"/>
        <n v="0.8516"/>
        <n v="0.8518"/>
        <n v="0.8519"/>
        <n v="0.852"/>
        <n v="0.8521"/>
        <n v="0.8522"/>
        <n v="0.853"/>
        <n v="0.8531"/>
        <n v="0.8533"/>
        <n v="0.8544"/>
        <n v="0.855"/>
        <n v="0.8553"/>
        <n v="0.8558"/>
        <n v="0.8572"/>
        <n v="0.8574"/>
        <n v="0.8577"/>
        <n v="0.8579"/>
        <n v="0.858"/>
        <n v="0.8589"/>
        <n v="0.8593"/>
        <n v="0.86"/>
        <n v="0.8608"/>
        <n v="0.8609"/>
        <n v="0.861"/>
        <n v="0.8614"/>
        <n v="0.862"/>
        <n v="0.8624"/>
        <n v="0.8637"/>
        <n v="0.864"/>
        <n v="0.8644"/>
        <n v="0.865"/>
        <n v="0.8652"/>
        <n v="0.8655"/>
        <n v="0.8657"/>
        <n v="0.8661"/>
        <n v="0.8664"/>
        <n v="0.8668"/>
        <n v="0.8675"/>
        <n v="0.8676"/>
        <n v="0.8683"/>
        <n v="0.8689"/>
        <n v="0.869"/>
        <n v="0.8695"/>
        <n v="0.8697"/>
        <n v="0.8698"/>
        <n v="0.8699"/>
        <n v="0.87"/>
        <n v="0.8704"/>
        <n v="0.8706"/>
        <n v="0.8715"/>
        <n v="0.8716"/>
        <n v="0.873"/>
        <n v="0.8745"/>
        <n v="0.875"/>
        <n v="0.8752"/>
        <n v="0.8761"/>
        <n v="0.8766"/>
        <n v="0.878"/>
        <n v="0.88"/>
        <n v="0.8805"/>
        <n v="0.8813"/>
        <n v="0.8822"/>
        <n v="0.8824"/>
        <n v="0.8832"/>
        <n v="0.8836"/>
        <n v="0.8837"/>
        <n v="0.884"/>
        <n v="0.885"/>
        <n v="0.8862"/>
        <n v="0.8865"/>
        <n v="0.8873"/>
        <n v="0.8883"/>
        <n v="0.889"/>
        <n v="0.8891"/>
        <n v="0.89"/>
        <n v="0.8918"/>
        <n v="0.8957"/>
        <n v="0.8959"/>
        <n v="0.896"/>
        <n v="0.8975"/>
        <n v="0.8978"/>
        <n v="0.899"/>
        <n v="0.8991"/>
        <n v="0.8993"/>
        <n v="0.9"/>
        <n v="0.9025"/>
        <n v="0.9044"/>
        <n v="0.91"/>
        <n v="0.92"/>
        <n v="0.9213"/>
        <n v="0.93"/>
        <n v="0.9371"/>
        <n v="0.94"/>
        <n v="0.95"/>
        <n v="0.96"/>
        <n v="0.97"/>
        <n v="0.98"/>
        <n v="0.99"/>
        <n v="0.9919"/>
        <n v="1"/>
        <n v="8.7396"/>
        <m/>
      </sharedItems>
    </cacheField>
    <cacheField name="Area Damaged" numFmtId="0">
      <sharedItems containsBlank="1" count="51">
        <s v="                                                                                                                                       80&#10;                                                                                                                     "/>
        <s v="                                                                                  25&#10; 100"/>
        <s v="(8 merge w/ 347)"/>
        <s v="(8 merge w/ 348)                                      20"/>
        <s v="1"/>
        <s v="10"/>
        <s v="10                     40"/>
        <s v="10 10 15"/>
        <s v="100"/>
        <s v="100                                                                                                62"/>
        <s v="13                                             8"/>
        <s v="14                                 20                              20                      22.50"/>
        <s v="15"/>
        <s v="19"/>
        <s v="2"/>
        <s v="20"/>
        <s v="25"/>
        <s v="25                                 17"/>
        <s v="25                              15"/>
        <s v="3"/>
        <s v="30"/>
        <s v="30&#10; 8"/>
        <s v="30                                                                                 40"/>
        <s v="30                                      20"/>
        <s v="35"/>
        <s v="35                                                                                     23                                                            19"/>
        <s v="35                                          20"/>
        <s v="37                                  3.5"/>
        <s v="39"/>
        <s v="4"/>
        <s v="40"/>
        <s v="40                                20                                             30                                     25                            35"/>
        <s v="40 (MERGE W/ 343)                                                                27.17                                    9                                     59"/>
        <s v="40 (MERGE W/ 344)                                                                                                     50                    8                          50"/>
        <s v="43                              40                                      10                                 52"/>
        <s v="45                                                       35                                                         35                           40                                    29.50                               35"/>
        <s v="5 13"/>
        <s v="50"/>
        <s v="50                                                                                                    20                       23                                36"/>
        <s v="50                                                                             15                                                                    30"/>
        <s v="50                                                                        50                                                                                                                                                                      30           "/>
        <s v="50                                   19"/>
        <s v="50                               100"/>
        <s v="50                               20                         30"/>
        <s v="50                          50                                  120                                 100"/>
        <s v="50                      19                                    15                                                                                          50                                       20"/>
        <s v="62                                   20"/>
        <s v="7"/>
        <s v="81.3"/>
        <s v="90"/>
        <m/>
      </sharedItems>
    </cacheField>
    <cacheField name="Cause of Damage" numFmtId="0">
      <sharedItems containsBlank="1" count="57">
        <s v="Fire occurrence                                                      Incendiary (Feb. 17,2015)                                                                       Hunting (February 23,2017)                                                January 19,2019,"/>
        <s v="Fire occurrence-( March 2,2019)"/>
        <s v="Fire Occurrence( March 10,2019)"/>
        <s v="Fire occurrence( March 3,2018)"/>
        <s v="Fire-alleged from honey gathering ( April 30,2019)"/>
        <s v="Fores Fire                                                                                                 Incendiary (Feb. 17, 2015)                                                       Charcoal making &amp; Cogon gathering                   Hunting/Charcoa"/>
        <s v="Fores Fire                                                                                          Honey gatherers.(February 4,2023)"/>
        <s v="Forest Fire                                                                                                    Hunting( February 2,2020                                                                                                    Farming (February 7,"/>
        <s v="Forest Fire                                                                                              Ignited allegedly by honey gatherers (February 5,2023)                                                                                                "/>
        <s v="Forest Fire                                                                                              wild honey bee collectors -May 16-17,2021                     Unknown (March 4,2023)"/>
        <s v="Forest Fire                                                                                            Escaped fire from suspected thrown cigarette from hunters (March 30,2019)                                                                              H"/>
        <s v="Forest Fire                                                                                            Honey Collectio/firewood gathering (April 3,2020)"/>
        <s v="Forest Fire                                                                                          Hunting (January 14,2019)                                                             Cogon gatherer (May 18,2020)                                        "/>
        <s v="Forest Fire                                                                                         Fire-excape fire from charcoal pit from a private land                      (January 31,2019)                                                              "/>
        <s v="Forest Fire                                                                                        From A. L.  (Feb. 4,2014)                                                                Picnic Goers  (April 2, 2016)                                      "/>
        <s v="Forest Fire                                                                                      Burning of grasses from adjacent riceland along Calunetan creek (December 28,2021  and January 25,2023)"/>
        <s v="Forest Fire                                                                                    Burning of Grasses from adjacent Rice land along the Calunetan creek (January 25-26, 2023)"/>
        <s v="Forest Fire                                                                                    Wild honey bee collector (March 6,2023)"/>
        <s v="Forest Fire                                                                                   Unknown ( April 4,2015)"/>
        <s v="Forest Fire                                                                                  Hunting (January 8, 2015)                                                             Hunting (April 3, 20216)                                                 Hun"/>
        <s v="Forest Fire                                                                                  Wild honey collectors. February 5,2023"/>
        <s v="Forest Fire                                                                                 Hunting (Febuary 03,2019                                                             Spark of Binga and Ambuklao transmission line (February 18,2020)"/>
        <s v="Forest Fire                                                                                 Hunting (January 8, 2015)                                             Hunting(April 3, 2016)                                                          Hunting(Janua"/>
        <s v="Forest Fire                                                                                Uncontrolled burning cause by hunters to make the perimeter for wildlife hunting ground.(January 7, 2023)"/>
        <s v="Forest Fire                                                                               Burning of grasses from adjacent riceland along Calunetan creek (March 10,2019)                                     Burning of grasses from adjacent riceland  (Janua"/>
        <s v="Forest Fire                                                                               Escape from clearing and adjacent farmland (February 22, 2020)                                                                                                      R"/>
        <s v="Forest Fire                                                                             cogon gathering (February 23,2019)                                     Escaped from nearby Private Land (February 20, 2020)                                            "/>
        <s v="Forest Fire                                                                             Culpit from Passersby (March 12,2014)             Adjacent P.L (Feb. 8, 2016)                          (March 20, 2019)                                                "/>
        <s v="Forest Fire                                                                             March 02,2019                                                            Unknown (March 7,2022)"/>
        <s v="Forest Fire                                                                           Hunting (January 31,2023)"/>
        <s v="Forest Fire                                                                          Unknown (February 4,2023)"/>
        <s v="Forest Fire                                                                         Culprit from passersby (February 18, 2014)                        Adjacent P.L (Feb. 8, 2016 )                                                       Accedental (February 1"/>
        <s v="Forest Fire                                                                         Hunting (February 16,2023)"/>
        <s v="Forest Fire                                                                         Hunting (February 23, 2017)"/>
        <s v="Forest Fire                                                                        Incediarism( May 16-17,2021)"/>
        <s v="Forest Fire                                                                       Culprit from passersby (February 18, 2014)                                                            Careless passersby(February 8, 2016)                                   "/>
        <s v="Forest Fire                                                                       Hunting( March 5,2019)                                         Hunting(April 12,2021)"/>
        <s v="Forest Fire                                                                     Hunting(February 6, 2013)                                                         Hunting  (January 8,2015)                                                   Hunting  (April 3"/>
        <s v="Forest Fire                                                                     Undetermined (March 17,2019                                                Farming (February 28,2020)"/>
        <s v="Forest Fire                                                                   Adjacent ricefield (January 27, 2016)                                    March 6,2019                                                                   Incediarism(May 16-17, 20"/>
        <s v="Forest Fire                                                                   Unknown (March 7, 2022)"/>
        <s v="Forest Fire                                                                  Burning of grasses from adjacent riceland along Calunetan creek( February 22,2020                        Burning of grasses from adjacent riceland along Calunetan creek (January "/>
        <s v="Forest Fire                                                                 Larvae collection (April 7, 2017)"/>
        <s v="Forest Fire                                                                Incediarism(May 16-17,2021)"/>
        <s v="Forest Fire                                                               Hunting ( February 6, 2013)                                             From A.L. (Feb. 4, 2014)                                                       Picnic Goers (April 2, 2016)  "/>
        <s v="Forest Fire                                                            Thrown cigarette butts ( January 17, 2013)                                          (February 14, 2018)"/>
        <s v="Forest Fire                                                          Charcoal making (February 23, 2017)"/>
        <s v="Forest Fire                                                          Incendiarism (January 8, 2015)                                                 Hunting (January 2,2022)"/>
        <s v="Forest Fire                                                          Unknown (February 19, 2014)                                       (February 3,2019)"/>
        <s v="Forest Fire                                                          Unknown (May 5, 2012)"/>
        <s v="Forest Fire                                                      Accedental (February 5,2020)"/>
        <s v="Forest Fire                                                      Preparation of Farmland (February 6,2013)                                                                    (February 18,2018)"/>
        <s v="Forest Fire                                                 Unknown ( April 17, 2015)"/>
        <s v="Forest Fire                                                 Unknown ( March 7, 2022)"/>
        <s v="ForestFire&#10;Unidentified passersby (January 30,2023)                      (February 23,2019)"/>
        <s v="Spark of Binga and Amboklao transmission line"/>
        <m/>
      </sharedItems>
    </cacheField>
    <cacheField name="Status of Derecognition" numFmtId="0">
      <sharedItems containsBlank="1" count="2">
        <s v="For delisting"/>
        <m/>
      </sharedItems>
    </cacheField>
    <cacheField name="Date Updated" numFmtId="0">
      <sharedItems containsNonDate="0" containsDate="1" containsString="0" containsBlank="1" minDate="2019-10-29T00:00:00" maxDate="2023-12-15T00:00:00" count="5">
        <d v="2019-10-29T00:00:00"/>
        <d v="2021-12-28T00:00:00"/>
        <d v="2022-12-15T00:00:00"/>
        <d v="2023-12-15T00:00:00"/>
        <m/>
      </sharedItems>
    </cacheField>
    <cacheField name="Status &#10;  (Adopted,Partly Adopted,Tenured,Ongoing Process for Tenure,NA)" numFmtId="0">
      <sharedItems containsBlank="1" count="8">
        <s v="Adopted"/>
        <s v="N/A"/>
        <s v="NA"/>
        <s v="Society of Filipino Foresters,Inc."/>
        <s v="Tenured"/>
        <s v="Tenured/ Adopted"/>
        <s v="Un-tenured"/>
        <m/>
      </sharedItems>
    </cacheField>
    <cacheField name="Adopting Entity Name or Type of Tenure" numFmtId="0">
      <sharedItems containsBlank="1" count="28">
        <s v="Agno Masonic Lodge 75"/>
        <s v="Barangay Calunetan Farmers Irrigators Association Inc."/>
        <s v="CADCT"/>
        <s v="CADT"/>
        <s v="CADT,Society of Filipino Foresters,Inc."/>
        <s v="CBFMA"/>
        <s v="CSC"/>
        <s v="Edelberto A. Tamondong Sr. Masonic Lodge 217"/>
        <s v="Federico M. Egipto"/>
        <s v="Fernando S. Quesada"/>
        <s v="Forest Knight Association Inc."/>
        <s v="Forest Knights Association"/>
        <s v="Fraternal Order of Eagles"/>
        <s v="Malico Agroforestery Development Corporation"/>
        <s v="Malico Agroforestery Development corporation (121 ha. only)"/>
        <s v="Mr. Alain Jerico S. Perez"/>
        <s v="Mr. John Renzo Payoyo"/>
        <s v="N/A"/>
        <s v="NA"/>
        <s v="Natividad United Farmers Association,Inc."/>
        <s v="Puyao Forest Workers Association"/>
        <s v="Puyao Forest Workers Association,Inc."/>
        <s v="Skills Development Learning Advancement Inc."/>
        <s v="Society of Filipino Foresters Incorporated (only 4. has was adopted"/>
        <s v="Society of Filipino Foresters,Inc."/>
        <s v="Ubbog ti Daya MPC"/>
        <s v="Ubbog Ti Daya Multi-Purpose Cooperative"/>
        <m/>
      </sharedItems>
    </cacheField>
    <cacheField name="ELCAC SITE, REGULAR SITE, COBF SITE" numFmtId="0">
      <sharedItems count="3">
        <s v="COBF Site"/>
        <s v="ERDB"/>
        <s v="Regular Site"/>
      </sharedItems>
    </cacheField>
    <cacheField name="LINK OF CONTRACTS (LAO/MOA" numFmtId="0">
      <sharedItems containsBlank="1" count="22">
        <s v="https://drive.google.com/drive/folders/128OWNBPjBXdK-xGyJQylMTqfzXEBYGV9"/>
        <s v="https://drive.google.com/drive/folders/12iE-skioixl0gb3n17x-It0HrtF14h8k"/>
        <s v="https://drive.google.com/drive/folders/18eADFQptVnCquIYQM5c2tgzdVD6dP5WU"/>
        <s v="https://drive.google.com/drive/folders/193RveosFLnHtBWuF9QkGw_iPPZhFx1Uh"/>
        <s v="https://drive.google.com/drive/folders/1cpxBaHDyBABaleIbFp-v_HfE7-F0Wirc"/>
        <s v="https://drive.google.com/drive/folders/1DtcAfVQKXLGdoCyIQDdiCAoefZWYPRTl"/>
        <s v="https://drive.google.com/drive/folders/1FiUvUlhdWWp85JuXNA-8bTj-ay_XOTCf"/>
        <s v="https://drive.google.com/drive/folders/1GneAvCWvueeu2eEAwQNVrerJ_hi6duRJ"/>
        <s v="https://drive.google.com/drive/folders/1iBOFb8NDzQ9fG64dPVcoSC1JbeivxXT7"/>
        <s v="https://drive.google.com/drive/folders/1ISy6yItPEKmiQ0Z6jwETf9FIfMHyIi40"/>
        <s v="https://drive.google.com/drive/folders/1iW3ykO9KEfAW_H7zf-klGlk1iG6Tbutb"/>
        <s v="https://drive.google.com/drive/folders/1lgofL12O5DstW7seokiehTZtj_yVotIo"/>
        <s v="https://drive.google.com/drive/folders/1MFGyivJU2xUSn0J7hIW3t8zRU0EZkc20"/>
        <s v="https://drive.google.com/drive/folders/1neSxZb2KuiqhqCuc4uwKeKVPTkPPBbP"/>
        <s v="https://drive.google.com/drive/folders/1O3Fn76cYq62BXSexAChJVD7SJuK5LNrR"/>
        <s v="https://drive.google.com/drive/folders/1p7Z9Una7Z2xiMRHNd96MyPYobv4Ctdx6"/>
        <s v="https://drive.google.com/drive/folders/1sJcXTef-zwSCTx4KCUVqu0nYt4tpKXPW"/>
        <s v="https://drive.google.com/drive/folders/1srCuTYvTf4QTcFjpIq-XkC_5kDT9zjC6"/>
        <s v="https://drive.google.com/drive/folders/1Yp79MckbkTg3iB5rNHfHpOD6y1hmHKMk"/>
        <s v="https://tinyurl.com/AlibengBelbelCY2023"/>
        <s v="https://tinyurl.com/Salpad46haCY2024"/>
        <m/>
      </sharedItems>
    </cacheField>
    <cacheField name="SAMPLEA AREA (ha) 2011 TO DATE" numFmtId="0">
      <sharedItems containsSemiMixedTypes="0" containsString="0" containsNumber="1" minValue="0.01" maxValue="42" count="41">
        <n v="0.01"/>
        <n v="0.03"/>
        <n v="0.05"/>
        <n v="0.06"/>
        <n v="0.08"/>
        <n v="0.1"/>
        <n v="0.15"/>
        <n v="0.17"/>
        <n v="0.2"/>
        <n v="0.21"/>
        <n v="0.24"/>
        <n v="0.25"/>
        <n v="0.27"/>
        <n v="0.31"/>
        <n v="0.35"/>
        <n v="0.41"/>
        <n v="0.72"/>
        <n v="0.79"/>
        <n v="0.84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7"/>
        <n v="18"/>
        <n v="20"/>
        <n v="21"/>
        <n v="24"/>
        <n v="31"/>
        <n v="37"/>
        <n v="42"/>
      </sharedItems>
    </cacheField>
    <cacheField name="SAMPLE AREA (ha) 2023 continuing this 2024" numFmtId="0">
      <sharedItems containsString="0" containsBlank="1" containsNumber="1" minValue="0.01" maxValue="42" count="42">
        <n v="0.01"/>
        <n v="0.03"/>
        <n v="0.05"/>
        <n v="0.06"/>
        <n v="0.08"/>
        <n v="0.1"/>
        <n v="0.15"/>
        <n v="0.17"/>
        <n v="0.2"/>
        <n v="0.21"/>
        <n v="0.24"/>
        <n v="0.25"/>
        <n v="0.27"/>
        <n v="0.31"/>
        <n v="0.35"/>
        <n v="0.41"/>
        <n v="0.72"/>
        <n v="0.79"/>
        <n v="0.84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7"/>
        <n v="18"/>
        <n v="20"/>
        <n v="21"/>
        <n v="24"/>
        <n v="31"/>
        <n v="37"/>
        <n v="42"/>
        <m/>
      </sharedItems>
    </cacheField>
    <cacheField name="SAMPLE AREA (2025)" numFmtId="0">
      <sharedItems containsString="0" containsBlank="1" containsNumber="1" containsInteger="1" minValue="2" maxValue="7" count="7">
        <n v="2"/>
        <n v="3"/>
        <n v="4"/>
        <n v="5"/>
        <n v="6"/>
        <n v="7"/>
        <m/>
      </sharedItems>
    </cacheField>
    <cacheField name="YEAR TO BE INVENTORIED" numFmtId="0">
      <sharedItems containsString="0" containsBlank="1" containsNumber="1" containsInteger="1" minValue="2023" maxValue="2025" count="3">
        <n v="2023"/>
        <n v="2025"/>
        <m/>
      </sharedItems>
    </cacheField>
    <cacheField name="ADJECTIVAL STOCKING DENSITY" numFmtId="0">
      <sharedItems containsBlank="1" count="6">
        <s v="Highly Stocked"/>
        <s v="Low Stocked"/>
        <s v="Moderately Stocked"/>
        <s v="Sufficiently Stocked"/>
        <s v="Very low Stocked"/>
        <m/>
      </sharedItems>
    </cacheField>
    <cacheField name="ADJECTIVAL PRODUCTIVITY IN TERMS OF VOLUME" numFmtId="0">
      <sharedItems containsBlank="1" count="6">
        <s v="Highly Productive"/>
        <s v="Low Productivity"/>
        <s v="Moderately Productive"/>
        <s v="Sufficiently Productive"/>
        <s v="Very low Productivity"/>
        <m/>
      </sharedItems>
    </cacheField>
    <cacheField name="LATEST SURVIVAL RATE %" numFmtId="0">
      <sharedItems containsString="0" containsBlank="1" containsNumber="1" minValue="0.0013" maxValue="0.9883" count="122">
        <n v="0.0013"/>
        <n v="0.0036"/>
        <n v="0.0088"/>
        <n v="0.01"/>
        <n v="0.0129"/>
        <n v="0.0179"/>
        <n v="0.02"/>
        <n v="0.0253"/>
        <n v="0.0255"/>
        <n v="0.0257"/>
        <n v="0.0267"/>
        <n v="0.0295"/>
        <n v="0.03"/>
        <n v="0.0309"/>
        <n v="0.0313"/>
        <n v="0.0316"/>
        <n v="0.0353"/>
        <n v="0.0357"/>
        <n v="0.0391"/>
        <n v="0.0396"/>
        <n v="0.0421"/>
        <n v="0.0472"/>
        <n v="0.0481"/>
        <n v="0.051"/>
        <n v="0.0531"/>
        <n v="0.055"/>
        <n v="0.0568"/>
        <n v="0.0625"/>
        <n v="0.0642"/>
        <n v="0.0739"/>
        <n v="0.074"/>
        <n v="0.0763"/>
        <n v="0.0785"/>
        <n v="0.083"/>
        <n v="0.094"/>
        <n v="0.0946"/>
        <n v="0.0954"/>
        <n v="0.099"/>
        <n v="0.1037"/>
        <n v="0.105"/>
        <n v="0.1063"/>
        <n v="0.112"/>
        <n v="0.1198"/>
        <n v="0.126"/>
        <n v="0.1307"/>
        <n v="0.133"/>
        <n v="0.1375"/>
        <n v="0.1429"/>
        <n v="0.1487"/>
        <n v="0.15"/>
        <n v="0.1515"/>
        <n v="0.16"/>
        <n v="0.1607"/>
        <n v="0.1608"/>
        <n v="0.1625"/>
        <n v="0.1666"/>
        <n v="0.1693"/>
        <n v="0.1694"/>
        <n v="0.1761"/>
        <n v="0.1791"/>
        <n v="0.1875"/>
        <n v="0.1913"/>
        <n v="0.1977"/>
        <n v="0.2"/>
        <n v="0.2063"/>
        <n v="0.2083"/>
        <n v="0.2215"/>
        <n v="0.2292"/>
        <n v="0.2308"/>
        <n v="0.2377"/>
        <n v="0.25"/>
        <n v="0.264"/>
        <n v="0.265"/>
        <n v="0.2732"/>
        <n v="0.2793"/>
        <n v="0.305"/>
        <n v="0.326"/>
        <n v="0.3407"/>
        <n v="0.3503"/>
        <n v="0.3557"/>
        <n v="0.3629"/>
        <n v="0.368"/>
        <n v="0.3708"/>
        <n v="0.388"/>
        <n v="0.399"/>
        <n v="0.4"/>
        <n v="0.4008"/>
        <n v="0.42"/>
        <n v="0.445"/>
        <n v="0.4516"/>
        <n v="0.4938"/>
        <n v="0.5225"/>
        <n v="0.5283"/>
        <n v="0.5375"/>
        <n v="0.5647"/>
        <n v="0.567"/>
        <n v="0.5708"/>
        <n v="0.572"/>
        <n v="0.58"/>
        <n v="0.582"/>
        <n v="0.59"/>
        <n v="0.5926"/>
        <n v="0.5976"/>
        <n v="0.61"/>
        <n v="0.6137"/>
        <n v="0.6439"/>
        <n v="0.6471"/>
        <n v="0.6738"/>
        <n v="0.68"/>
        <n v="0.6992"/>
        <n v="0.711"/>
        <n v="0.7701"/>
        <n v="0.776"/>
        <n v="0.7936"/>
        <n v="0.8263"/>
        <n v="0.8267"/>
        <n v="0.8286"/>
        <n v="0.8643"/>
        <n v="0.9372"/>
        <n v="0.9565"/>
        <n v="0.9883"/>
        <m/>
      </sharedItems>
    </cacheField>
    <cacheField name="DATE EVALUATED" numFmtId="0">
      <sharedItems containsNonDate="0" containsDate="1" containsString="0" containsBlank="1" minDate="2023-05-14T00:00:00" maxDate="3024-08-03T00:00:00" count="59">
        <d v="2023-05-14T00:00:00"/>
        <d v="2024-05-06T00:00:00"/>
        <d v="2024-05-08T00:00:00"/>
        <d v="2024-05-09T00:00:00"/>
        <d v="2024-05-13T00:00:00"/>
        <d v="2024-05-14T00:00:00"/>
        <d v="2024-05-15T00:00:00"/>
        <d v="2024-05-16T00:00:00"/>
        <d v="2024-05-17T00:00:00"/>
        <d v="2024-06-06T00:00:00"/>
        <d v="2024-06-07T00:00:00"/>
        <d v="2024-06-12T00:00:00"/>
        <d v="2024-06-25T00:00:00"/>
        <d v="2024-06-28T00:00:00"/>
        <d v="2024-06-30T00:00:00"/>
        <d v="2024-07-03T00:00:00"/>
        <d v="2024-07-07T00:00:00"/>
        <d v="2024-07-11T00:00:00"/>
        <d v="2024-07-12T00:00:00"/>
        <d v="2024-07-17T00:00:00"/>
        <d v="2024-07-18T00:00:00"/>
        <d v="2024-07-20T00:00:00"/>
        <d v="2024-07-21T00:00:00"/>
        <d v="2024-08-03T00:00:00"/>
        <d v="2024-08-04T00:00:00"/>
        <d v="2024-08-07T00:00:00"/>
        <d v="2024-08-08T00:00:00"/>
        <d v="2024-08-09T00:00:00"/>
        <d v="2024-08-10T00:00:00"/>
        <d v="2024-08-29T00:00:00"/>
        <d v="2024-08-30T00:00:00"/>
        <d v="2024-09-02T00:00:00"/>
        <d v="2024-09-03T00:00:00"/>
        <d v="2024-09-05T00:00:00"/>
        <d v="2024-09-06T00:00:00"/>
        <d v="2024-09-07T00:00:00"/>
        <d v="2024-09-08T00:00:00"/>
        <d v="2024-09-09T00:00:00"/>
        <d v="2024-09-10T00:00:00"/>
        <d v="2024-09-12T00:00:00"/>
        <d v="2024-09-15T00:00:00"/>
        <d v="2024-09-16T00:00:00"/>
        <d v="2024-09-17T00:00:00"/>
        <d v="2024-09-18T00:00:00"/>
        <d v="2024-09-19T00:00:00"/>
        <d v="2024-09-25T00:00:00"/>
        <d v="2024-09-26T00:00:00"/>
        <d v="2024-09-28T00:00:00"/>
        <d v="2024-10-01T00:00:00"/>
        <d v="2024-10-03T00:00:00"/>
        <d v="2024-10-09T00:00:00"/>
        <d v="2024-10-10T00:00:00"/>
        <d v="2024-11-09T00:00:00"/>
        <d v="2024-11-10T00:00:00"/>
        <d v="2024-12-04T00:00:00"/>
        <d v="2024-12-11T00:00:00"/>
        <d v="2024-12-12T00:00:00"/>
        <d v="3024-08-03T00:00:00"/>
        <m/>
      </sharedItems>
    </cacheField>
    <cacheField name="THIRD PARTY CONSULTANT" numFmtId="0">
      <sharedItems containsBlank="1" count="2">
        <s v="Manglares Coastal Resources Management Foundation, Inc."/>
        <m/>
      </sharedItems>
    </cacheField>
    <cacheField name="No. of Seedling per hectares" numFmtId="0">
      <sharedItems containsString="0" containsBlank="1" count="1">
        <m/>
      </sharedItems>
    </cacheField>
    <cacheField name="Spacing" numFmtId="0">
      <sharedItems containsString="0" containsBlank="1" count="1">
        <m/>
      </sharedItems>
    </cacheField>
    <cacheField name="REMARKS" numFmtId="0">
      <sharedItems containsBlank="1" count="2">
        <s v="Back-log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9">
  <r>
    <x v="0"/>
    <x v="0"/>
    <x v="1"/>
    <x v="2"/>
    <x v="15"/>
    <x v="2"/>
    <x v="1"/>
    <x v="0"/>
    <x v="0"/>
    <x v="6"/>
    <x v="39"/>
    <x v="9"/>
    <x v="0"/>
    <x v="73"/>
    <x v="78"/>
    <x v="98"/>
    <x v="98"/>
    <x v="1"/>
    <x v="14"/>
    <x v="33"/>
    <x v="32"/>
    <x v="76"/>
    <x v="83"/>
    <x v="8"/>
    <x v="18"/>
    <x v="46"/>
    <x v="31"/>
    <x v="13"/>
    <x v="46"/>
    <x v="0"/>
    <x v="0"/>
    <x v="7"/>
    <x v="18"/>
    <x v="35"/>
    <x v="33"/>
    <x v="1"/>
    <x v="36"/>
    <x v="5"/>
    <x v="1"/>
    <x v="50"/>
    <x v="56"/>
    <x v="1"/>
    <x v="4"/>
    <x v="4"/>
    <x v="5"/>
    <x v="2"/>
    <x v="21"/>
    <x v="31"/>
    <x v="31"/>
    <x v="6"/>
    <x v="0"/>
    <x v="3"/>
    <x v="1"/>
    <x v="79"/>
    <x v="8"/>
    <x v="0"/>
    <x v="0"/>
    <x v="0"/>
    <x v="1"/>
  </r>
  <r>
    <x v="0"/>
    <x v="0"/>
    <x v="0"/>
    <x v="23"/>
    <x v="11"/>
    <x v="2"/>
    <x v="3"/>
    <x v="0"/>
    <x v="1"/>
    <x v="9"/>
    <x v="10"/>
    <x v="2"/>
    <x v="0"/>
    <x v="44"/>
    <x v="48"/>
    <x v="54"/>
    <x v="54"/>
    <x v="1"/>
    <x v="6"/>
    <x v="43"/>
    <x v="10"/>
    <x v="76"/>
    <x v="41"/>
    <x v="8"/>
    <x v="7"/>
    <x v="12"/>
    <x v="8"/>
    <x v="3"/>
    <x v="46"/>
    <x v="0"/>
    <x v="0"/>
    <x v="7"/>
    <x v="18"/>
    <x v="35"/>
    <x v="33"/>
    <x v="1"/>
    <x v="36"/>
    <x v="4"/>
    <x v="8"/>
    <x v="50"/>
    <x v="56"/>
    <x v="1"/>
    <x v="4"/>
    <x v="4"/>
    <x v="5"/>
    <x v="2"/>
    <x v="21"/>
    <x v="22"/>
    <x v="22"/>
    <x v="6"/>
    <x v="0"/>
    <x v="0"/>
    <x v="3"/>
    <x v="99"/>
    <x v="31"/>
    <x v="0"/>
    <x v="0"/>
    <x v="0"/>
    <x v="1"/>
  </r>
  <r>
    <x v="0"/>
    <x v="0"/>
    <x v="1"/>
    <x v="54"/>
    <x v="7"/>
    <x v="2"/>
    <x v="6"/>
    <x v="0"/>
    <x v="2"/>
    <x v="2"/>
    <x v="1"/>
    <x v="0"/>
    <x v="0"/>
    <x v="42"/>
    <x v="43"/>
    <x v="50"/>
    <x v="50"/>
    <x v="1"/>
    <x v="6"/>
    <x v="40"/>
    <x v="58"/>
    <x v="76"/>
    <x v="38"/>
    <x v="8"/>
    <x v="61"/>
    <x v="40"/>
    <x v="5"/>
    <x v="21"/>
    <x v="46"/>
    <x v="0"/>
    <x v="0"/>
    <x v="7"/>
    <x v="18"/>
    <x v="35"/>
    <x v="33"/>
    <x v="1"/>
    <x v="36"/>
    <x v="3"/>
    <x v="3"/>
    <x v="15"/>
    <x v="49"/>
    <x v="1"/>
    <x v="4"/>
    <x v="2"/>
    <x v="27"/>
    <x v="2"/>
    <x v="21"/>
    <x v="21"/>
    <x v="21"/>
    <x v="6"/>
    <x v="0"/>
    <x v="0"/>
    <x v="1"/>
    <x v="61"/>
    <x v="31"/>
    <x v="0"/>
    <x v="0"/>
    <x v="0"/>
    <x v="1"/>
  </r>
  <r>
    <x v="0"/>
    <x v="0"/>
    <x v="1"/>
    <x v="18"/>
    <x v="8"/>
    <x v="2"/>
    <x v="1"/>
    <x v="0"/>
    <x v="3"/>
    <x v="26"/>
    <x v="46"/>
    <x v="6"/>
    <x v="0"/>
    <x v="57"/>
    <x v="61"/>
    <x v="71"/>
    <x v="71"/>
    <x v="1"/>
    <x v="20"/>
    <x v="0"/>
    <x v="13"/>
    <x v="76"/>
    <x v="52"/>
    <x v="8"/>
    <x v="12"/>
    <x v="23"/>
    <x v="14"/>
    <x v="4"/>
    <x v="0"/>
    <x v="0"/>
    <x v="0"/>
    <x v="7"/>
    <x v="18"/>
    <x v="35"/>
    <x v="33"/>
    <x v="1"/>
    <x v="0"/>
    <x v="110"/>
    <x v="5"/>
    <x v="50"/>
    <x v="56"/>
    <x v="1"/>
    <x v="4"/>
    <x v="4"/>
    <x v="5"/>
    <x v="2"/>
    <x v="21"/>
    <x v="24"/>
    <x v="24"/>
    <x v="6"/>
    <x v="0"/>
    <x v="3"/>
    <x v="1"/>
    <x v="84"/>
    <x v="54"/>
    <x v="0"/>
    <x v="0"/>
    <x v="0"/>
    <x v="1"/>
  </r>
  <r>
    <x v="0"/>
    <x v="0"/>
    <x v="1"/>
    <x v="30"/>
    <x v="8"/>
    <x v="2"/>
    <x v="1"/>
    <x v="0"/>
    <x v="4"/>
    <x v="33"/>
    <x v="34"/>
    <x v="8"/>
    <x v="0"/>
    <x v="63"/>
    <x v="68"/>
    <x v="76"/>
    <x v="76"/>
    <x v="1"/>
    <x v="7"/>
    <x v="10"/>
    <x v="26"/>
    <x v="76"/>
    <x v="59"/>
    <x v="8"/>
    <x v="16"/>
    <x v="42"/>
    <x v="27"/>
    <x v="9"/>
    <x v="0"/>
    <x v="0"/>
    <x v="0"/>
    <x v="7"/>
    <x v="18"/>
    <x v="35"/>
    <x v="33"/>
    <x v="1"/>
    <x v="36"/>
    <x v="110"/>
    <x v="11"/>
    <x v="50"/>
    <x v="56"/>
    <x v="1"/>
    <x v="4"/>
    <x v="6"/>
    <x v="3"/>
    <x v="2"/>
    <x v="21"/>
    <x v="25"/>
    <x v="25"/>
    <x v="6"/>
    <x v="0"/>
    <x v="2"/>
    <x v="1"/>
    <x v="18"/>
    <x v="9"/>
    <x v="0"/>
    <x v="0"/>
    <x v="0"/>
    <x v="1"/>
  </r>
  <r>
    <x v="0"/>
    <x v="0"/>
    <x v="1"/>
    <x v="30"/>
    <x v="8"/>
    <x v="2"/>
    <x v="1"/>
    <x v="0"/>
    <x v="5"/>
    <x v="33"/>
    <x v="34"/>
    <x v="8"/>
    <x v="0"/>
    <x v="55"/>
    <x v="58"/>
    <x v="67"/>
    <x v="67"/>
    <x v="0"/>
    <x v="9"/>
    <x v="11"/>
    <x v="26"/>
    <x v="76"/>
    <x v="50"/>
    <x v="8"/>
    <x v="16"/>
    <x v="42"/>
    <x v="27"/>
    <x v="9"/>
    <x v="0"/>
    <x v="0"/>
    <x v="0"/>
    <x v="7"/>
    <x v="18"/>
    <x v="35"/>
    <x v="33"/>
    <x v="1"/>
    <x v="36"/>
    <x v="110"/>
    <x v="10"/>
    <x v="50"/>
    <x v="56"/>
    <x v="1"/>
    <x v="4"/>
    <x v="6"/>
    <x v="3"/>
    <x v="2"/>
    <x v="21"/>
    <x v="24"/>
    <x v="24"/>
    <x v="6"/>
    <x v="0"/>
    <x v="2"/>
    <x v="4"/>
    <x v="56"/>
    <x v="9"/>
    <x v="0"/>
    <x v="0"/>
    <x v="0"/>
    <x v="1"/>
  </r>
  <r>
    <x v="0"/>
    <x v="0"/>
    <x v="1"/>
    <x v="45"/>
    <x v="7"/>
    <x v="2"/>
    <x v="6"/>
    <x v="0"/>
    <x v="6"/>
    <x v="50"/>
    <x v="26"/>
    <x v="4"/>
    <x v="0"/>
    <x v="55"/>
    <x v="59"/>
    <x v="68"/>
    <x v="68"/>
    <x v="1"/>
    <x v="14"/>
    <x v="64"/>
    <x v="11"/>
    <x v="76"/>
    <x v="50"/>
    <x v="8"/>
    <x v="12"/>
    <x v="22"/>
    <x v="13"/>
    <x v="36"/>
    <x v="46"/>
    <x v="0"/>
    <x v="0"/>
    <x v="7"/>
    <x v="0"/>
    <x v="35"/>
    <x v="33"/>
    <x v="1"/>
    <x v="36"/>
    <x v="5"/>
    <x v="0"/>
    <x v="45"/>
    <x v="27"/>
    <x v="1"/>
    <x v="4"/>
    <x v="3"/>
    <x v="24"/>
    <x v="2"/>
    <x v="21"/>
    <x v="24"/>
    <x v="24"/>
    <x v="6"/>
    <x v="0"/>
    <x v="4"/>
    <x v="4"/>
    <x v="9"/>
    <x v="28"/>
    <x v="0"/>
    <x v="0"/>
    <x v="0"/>
    <x v="1"/>
  </r>
  <r>
    <x v="0"/>
    <x v="0"/>
    <x v="0"/>
    <x v="23"/>
    <x v="11"/>
    <x v="2"/>
    <x v="3"/>
    <x v="0"/>
    <x v="7"/>
    <x v="32"/>
    <x v="28"/>
    <x v="1"/>
    <x v="0"/>
    <x v="45"/>
    <x v="46"/>
    <x v="52"/>
    <x v="52"/>
    <x v="1"/>
    <x v="6"/>
    <x v="42"/>
    <x v="8"/>
    <x v="76"/>
    <x v="42"/>
    <x v="8"/>
    <x v="7"/>
    <x v="9"/>
    <x v="6"/>
    <x v="1"/>
    <x v="0"/>
    <x v="0"/>
    <x v="0"/>
    <x v="7"/>
    <x v="18"/>
    <x v="35"/>
    <x v="33"/>
    <x v="1"/>
    <x v="0"/>
    <x v="4"/>
    <x v="2"/>
    <x v="50"/>
    <x v="56"/>
    <x v="1"/>
    <x v="4"/>
    <x v="4"/>
    <x v="5"/>
    <x v="2"/>
    <x v="21"/>
    <x v="21"/>
    <x v="22"/>
    <x v="6"/>
    <x v="0"/>
    <x v="0"/>
    <x v="1"/>
    <x v="98"/>
    <x v="37"/>
    <x v="0"/>
    <x v="0"/>
    <x v="0"/>
    <x v="1"/>
  </r>
  <r>
    <x v="0"/>
    <x v="0"/>
    <x v="1"/>
    <x v="40"/>
    <x v="8"/>
    <x v="2"/>
    <x v="1"/>
    <x v="0"/>
    <x v="8"/>
    <x v="67"/>
    <x v="23"/>
    <x v="3"/>
    <x v="0"/>
    <x v="45"/>
    <x v="47"/>
    <x v="53"/>
    <x v="53"/>
    <x v="1"/>
    <x v="20"/>
    <x v="22"/>
    <x v="9"/>
    <x v="76"/>
    <x v="42"/>
    <x v="8"/>
    <x v="7"/>
    <x v="11"/>
    <x v="7"/>
    <x v="2"/>
    <x v="46"/>
    <x v="0"/>
    <x v="0"/>
    <x v="7"/>
    <x v="18"/>
    <x v="35"/>
    <x v="33"/>
    <x v="1"/>
    <x v="36"/>
    <x v="110"/>
    <x v="6"/>
    <x v="50"/>
    <x v="56"/>
    <x v="1"/>
    <x v="4"/>
    <x v="4"/>
    <x v="5"/>
    <x v="2"/>
    <x v="21"/>
    <x v="21"/>
    <x v="22"/>
    <x v="6"/>
    <x v="0"/>
    <x v="0"/>
    <x v="2"/>
    <x v="119"/>
    <x v="15"/>
    <x v="0"/>
    <x v="0"/>
    <x v="0"/>
    <x v="1"/>
  </r>
  <r>
    <x v="0"/>
    <x v="0"/>
    <x v="1"/>
    <x v="48"/>
    <x v="8"/>
    <x v="2"/>
    <x v="1"/>
    <x v="0"/>
    <x v="9"/>
    <x v="68"/>
    <x v="12"/>
    <x v="7"/>
    <x v="0"/>
    <x v="33"/>
    <x v="34"/>
    <x v="40"/>
    <x v="40"/>
    <x v="1"/>
    <x v="20"/>
    <x v="32"/>
    <x v="97"/>
    <x v="76"/>
    <x v="33"/>
    <x v="8"/>
    <x v="85"/>
    <x v="7"/>
    <x v="22"/>
    <x v="36"/>
    <x v="46"/>
    <x v="0"/>
    <x v="0"/>
    <x v="7"/>
    <x v="18"/>
    <x v="35"/>
    <x v="33"/>
    <x v="1"/>
    <x v="36"/>
    <x v="1"/>
    <x v="12"/>
    <x v="50"/>
    <x v="56"/>
    <x v="1"/>
    <x v="4"/>
    <x v="4"/>
    <x v="5"/>
    <x v="2"/>
    <x v="21"/>
    <x v="19"/>
    <x v="19"/>
    <x v="6"/>
    <x v="0"/>
    <x v="3"/>
    <x v="1"/>
    <x v="83"/>
    <x v="20"/>
    <x v="0"/>
    <x v="0"/>
    <x v="0"/>
    <x v="1"/>
  </r>
  <r>
    <x v="0"/>
    <x v="0"/>
    <x v="1"/>
    <x v="48"/>
    <x v="8"/>
    <x v="2"/>
    <x v="1"/>
    <x v="0"/>
    <x v="10"/>
    <x v="68"/>
    <x v="12"/>
    <x v="7"/>
    <x v="0"/>
    <x v="26"/>
    <x v="23"/>
    <x v="32"/>
    <x v="32"/>
    <x v="1"/>
    <x v="4"/>
    <x v="35"/>
    <x v="98"/>
    <x v="76"/>
    <x v="27"/>
    <x v="8"/>
    <x v="87"/>
    <x v="63"/>
    <x v="22"/>
    <x v="36"/>
    <x v="46"/>
    <x v="9"/>
    <x v="0"/>
    <x v="7"/>
    <x v="18"/>
    <x v="35"/>
    <x v="33"/>
    <x v="1"/>
    <x v="36"/>
    <x v="1"/>
    <x v="14"/>
    <x v="50"/>
    <x v="56"/>
    <x v="1"/>
    <x v="4"/>
    <x v="4"/>
    <x v="5"/>
    <x v="2"/>
    <x v="21"/>
    <x v="19"/>
    <x v="19"/>
    <x v="6"/>
    <x v="0"/>
    <x v="3"/>
    <x v="1"/>
    <x v="76"/>
    <x v="20"/>
    <x v="0"/>
    <x v="0"/>
    <x v="0"/>
    <x v="1"/>
  </r>
  <r>
    <x v="0"/>
    <x v="0"/>
    <x v="1"/>
    <x v="48"/>
    <x v="8"/>
    <x v="2"/>
    <x v="1"/>
    <x v="0"/>
    <x v="11"/>
    <x v="68"/>
    <x v="12"/>
    <x v="7"/>
    <x v="0"/>
    <x v="66"/>
    <x v="71"/>
    <x v="85"/>
    <x v="85"/>
    <x v="1"/>
    <x v="8"/>
    <x v="3"/>
    <x v="18"/>
    <x v="76"/>
    <x v="71"/>
    <x v="8"/>
    <x v="14"/>
    <x v="38"/>
    <x v="22"/>
    <x v="36"/>
    <x v="46"/>
    <x v="9"/>
    <x v="0"/>
    <x v="7"/>
    <x v="18"/>
    <x v="35"/>
    <x v="33"/>
    <x v="1"/>
    <x v="36"/>
    <x v="110"/>
    <x v="7"/>
    <x v="26"/>
    <x v="45"/>
    <x v="1"/>
    <x v="4"/>
    <x v="4"/>
    <x v="5"/>
    <x v="2"/>
    <x v="21"/>
    <x v="27"/>
    <x v="27"/>
    <x v="6"/>
    <x v="0"/>
    <x v="3"/>
    <x v="1"/>
    <x v="77"/>
    <x v="21"/>
    <x v="0"/>
    <x v="0"/>
    <x v="0"/>
    <x v="1"/>
  </r>
  <r>
    <x v="0"/>
    <x v="0"/>
    <x v="1"/>
    <x v="48"/>
    <x v="8"/>
    <x v="2"/>
    <x v="1"/>
    <x v="0"/>
    <x v="12"/>
    <x v="68"/>
    <x v="12"/>
    <x v="7"/>
    <x v="0"/>
    <x v="15"/>
    <x v="15"/>
    <x v="20"/>
    <x v="20"/>
    <x v="1"/>
    <x v="5"/>
    <x v="37"/>
    <x v="18"/>
    <x v="76"/>
    <x v="15"/>
    <x v="8"/>
    <x v="87"/>
    <x v="63"/>
    <x v="22"/>
    <x v="36"/>
    <x v="46"/>
    <x v="0"/>
    <x v="0"/>
    <x v="7"/>
    <x v="18"/>
    <x v="35"/>
    <x v="33"/>
    <x v="1"/>
    <x v="36"/>
    <x v="1"/>
    <x v="9"/>
    <x v="50"/>
    <x v="56"/>
    <x v="1"/>
    <x v="4"/>
    <x v="4"/>
    <x v="5"/>
    <x v="2"/>
    <x v="21"/>
    <x v="15"/>
    <x v="15"/>
    <x v="6"/>
    <x v="0"/>
    <x v="2"/>
    <x v="4"/>
    <x v="55"/>
    <x v="20"/>
    <x v="0"/>
    <x v="0"/>
    <x v="0"/>
    <x v="1"/>
  </r>
  <r>
    <x v="0"/>
    <x v="0"/>
    <x v="1"/>
    <x v="11"/>
    <x v="3"/>
    <x v="2"/>
    <x v="1"/>
    <x v="0"/>
    <x v="13"/>
    <x v="76"/>
    <x v="30"/>
    <x v="5"/>
    <x v="0"/>
    <x v="55"/>
    <x v="60"/>
    <x v="69"/>
    <x v="69"/>
    <x v="1"/>
    <x v="6"/>
    <x v="2"/>
    <x v="24"/>
    <x v="76"/>
    <x v="50"/>
    <x v="8"/>
    <x v="87"/>
    <x v="34"/>
    <x v="34"/>
    <x v="36"/>
    <x v="0"/>
    <x v="0"/>
    <x v="0"/>
    <x v="7"/>
    <x v="18"/>
    <x v="35"/>
    <x v="33"/>
    <x v="1"/>
    <x v="36"/>
    <x v="2"/>
    <x v="4"/>
    <x v="50"/>
    <x v="56"/>
    <x v="1"/>
    <x v="4"/>
    <x v="4"/>
    <x v="5"/>
    <x v="2"/>
    <x v="21"/>
    <x v="24"/>
    <x v="24"/>
    <x v="6"/>
    <x v="0"/>
    <x v="2"/>
    <x v="1"/>
    <x v="85"/>
    <x v="37"/>
    <x v="0"/>
    <x v="0"/>
    <x v="0"/>
    <x v="1"/>
  </r>
  <r>
    <x v="0"/>
    <x v="0"/>
    <x v="1"/>
    <x v="2"/>
    <x v="15"/>
    <x v="2"/>
    <x v="1"/>
    <x v="0"/>
    <x v="14"/>
    <x v="4"/>
    <x v="39"/>
    <x v="37"/>
    <x v="1"/>
    <x v="64"/>
    <x v="69"/>
    <x v="77"/>
    <x v="77"/>
    <x v="2"/>
    <x v="23"/>
    <x v="79"/>
    <x v="110"/>
    <x v="76"/>
    <x v="61"/>
    <x v="8"/>
    <x v="87"/>
    <x v="63"/>
    <x v="57"/>
    <x v="36"/>
    <x v="46"/>
    <x v="12"/>
    <x v="0"/>
    <x v="7"/>
    <x v="18"/>
    <x v="35"/>
    <x v="33"/>
    <x v="1"/>
    <x v="36"/>
    <x v="110"/>
    <x v="116"/>
    <x v="50"/>
    <x v="56"/>
    <x v="1"/>
    <x v="4"/>
    <x v="7"/>
    <x v="27"/>
    <x v="2"/>
    <x v="21"/>
    <x v="25"/>
    <x v="25"/>
    <x v="6"/>
    <x v="0"/>
    <x v="3"/>
    <x v="1"/>
    <x v="69"/>
    <x v="8"/>
    <x v="0"/>
    <x v="0"/>
    <x v="0"/>
    <x v="1"/>
  </r>
  <r>
    <x v="0"/>
    <x v="0"/>
    <x v="1"/>
    <x v="2"/>
    <x v="15"/>
    <x v="2"/>
    <x v="1"/>
    <x v="0"/>
    <x v="15"/>
    <x v="4"/>
    <x v="39"/>
    <x v="34"/>
    <x v="1"/>
    <x v="37"/>
    <x v="38"/>
    <x v="45"/>
    <x v="45"/>
    <x v="2"/>
    <x v="23"/>
    <x v="79"/>
    <x v="110"/>
    <x v="76"/>
    <x v="36"/>
    <x v="8"/>
    <x v="87"/>
    <x v="63"/>
    <x v="57"/>
    <x v="36"/>
    <x v="46"/>
    <x v="12"/>
    <x v="0"/>
    <x v="7"/>
    <x v="18"/>
    <x v="35"/>
    <x v="33"/>
    <x v="1"/>
    <x v="36"/>
    <x v="11"/>
    <x v="116"/>
    <x v="50"/>
    <x v="56"/>
    <x v="1"/>
    <x v="4"/>
    <x v="7"/>
    <x v="27"/>
    <x v="2"/>
    <x v="21"/>
    <x v="20"/>
    <x v="20"/>
    <x v="6"/>
    <x v="0"/>
    <x v="3"/>
    <x v="1"/>
    <x v="95"/>
    <x v="8"/>
    <x v="0"/>
    <x v="0"/>
    <x v="0"/>
    <x v="1"/>
  </r>
  <r>
    <x v="0"/>
    <x v="0"/>
    <x v="1"/>
    <x v="18"/>
    <x v="8"/>
    <x v="2"/>
    <x v="1"/>
    <x v="0"/>
    <x v="16"/>
    <x v="26"/>
    <x v="46"/>
    <x v="35"/>
    <x v="1"/>
    <x v="56"/>
    <x v="62"/>
    <x v="70"/>
    <x v="70"/>
    <x v="2"/>
    <x v="17"/>
    <x v="8"/>
    <x v="34"/>
    <x v="76"/>
    <x v="51"/>
    <x v="8"/>
    <x v="37"/>
    <x v="23"/>
    <x v="25"/>
    <x v="36"/>
    <x v="10"/>
    <x v="1"/>
    <x v="0"/>
    <x v="7"/>
    <x v="18"/>
    <x v="35"/>
    <x v="33"/>
    <x v="1"/>
    <x v="36"/>
    <x v="110"/>
    <x v="42"/>
    <x v="50"/>
    <x v="56"/>
    <x v="1"/>
    <x v="4"/>
    <x v="7"/>
    <x v="27"/>
    <x v="2"/>
    <x v="21"/>
    <x v="24"/>
    <x v="24"/>
    <x v="6"/>
    <x v="0"/>
    <x v="4"/>
    <x v="4"/>
    <x v="10"/>
    <x v="17"/>
    <x v="0"/>
    <x v="0"/>
    <x v="0"/>
    <x v="1"/>
  </r>
  <r>
    <x v="0"/>
    <x v="0"/>
    <x v="1"/>
    <x v="33"/>
    <x v="9"/>
    <x v="2"/>
    <x v="1"/>
    <x v="0"/>
    <x v="17"/>
    <x v="29"/>
    <x v="4"/>
    <x v="39"/>
    <x v="1"/>
    <x v="55"/>
    <x v="58"/>
    <x v="67"/>
    <x v="67"/>
    <x v="2"/>
    <x v="23"/>
    <x v="67"/>
    <x v="68"/>
    <x v="76"/>
    <x v="50"/>
    <x v="8"/>
    <x v="67"/>
    <x v="41"/>
    <x v="38"/>
    <x v="36"/>
    <x v="10"/>
    <x v="1"/>
    <x v="0"/>
    <x v="7"/>
    <x v="18"/>
    <x v="0"/>
    <x v="6"/>
    <x v="1"/>
    <x v="36"/>
    <x v="9"/>
    <x v="68"/>
    <x v="38"/>
    <x v="14"/>
    <x v="1"/>
    <x v="1"/>
    <x v="0"/>
    <x v="9"/>
    <x v="2"/>
    <x v="21"/>
    <x v="24"/>
    <x v="24"/>
    <x v="6"/>
    <x v="0"/>
    <x v="1"/>
    <x v="4"/>
    <x v="23"/>
    <x v="7"/>
    <x v="0"/>
    <x v="0"/>
    <x v="0"/>
    <x v="1"/>
  </r>
  <r>
    <x v="0"/>
    <x v="0"/>
    <x v="1"/>
    <x v="33"/>
    <x v="9"/>
    <x v="2"/>
    <x v="1"/>
    <x v="0"/>
    <x v="18"/>
    <x v="29"/>
    <x v="4"/>
    <x v="39"/>
    <x v="1"/>
    <x v="58"/>
    <x v="63"/>
    <x v="72"/>
    <x v="72"/>
    <x v="1"/>
    <x v="14"/>
    <x v="50"/>
    <x v="22"/>
    <x v="76"/>
    <x v="53"/>
    <x v="8"/>
    <x v="41"/>
    <x v="63"/>
    <x v="57"/>
    <x v="36"/>
    <x v="10"/>
    <x v="1"/>
    <x v="0"/>
    <x v="7"/>
    <x v="18"/>
    <x v="0"/>
    <x v="6"/>
    <x v="1"/>
    <x v="36"/>
    <x v="9"/>
    <x v="68"/>
    <x v="50"/>
    <x v="56"/>
    <x v="1"/>
    <x v="1"/>
    <x v="0"/>
    <x v="9"/>
    <x v="2"/>
    <x v="21"/>
    <x v="24"/>
    <x v="24"/>
    <x v="6"/>
    <x v="0"/>
    <x v="3"/>
    <x v="1"/>
    <x v="74"/>
    <x v="6"/>
    <x v="0"/>
    <x v="0"/>
    <x v="0"/>
    <x v="1"/>
  </r>
  <r>
    <x v="0"/>
    <x v="0"/>
    <x v="1"/>
    <x v="5"/>
    <x v="0"/>
    <x v="2"/>
    <x v="1"/>
    <x v="0"/>
    <x v="19"/>
    <x v="36"/>
    <x v="59"/>
    <x v="23"/>
    <x v="1"/>
    <x v="24"/>
    <x v="25"/>
    <x v="29"/>
    <x v="29"/>
    <x v="2"/>
    <x v="17"/>
    <x v="75"/>
    <x v="110"/>
    <x v="76"/>
    <x v="25"/>
    <x v="8"/>
    <x v="87"/>
    <x v="63"/>
    <x v="57"/>
    <x v="36"/>
    <x v="46"/>
    <x v="12"/>
    <x v="0"/>
    <x v="7"/>
    <x v="18"/>
    <x v="35"/>
    <x v="33"/>
    <x v="1"/>
    <x v="36"/>
    <x v="17"/>
    <x v="121"/>
    <x v="50"/>
    <x v="56"/>
    <x v="0"/>
    <x v="4"/>
    <x v="7"/>
    <x v="27"/>
    <x v="2"/>
    <x v="21"/>
    <x v="19"/>
    <x v="19"/>
    <x v="6"/>
    <x v="0"/>
    <x v="4"/>
    <x v="4"/>
    <x v="12"/>
    <x v="3"/>
    <x v="0"/>
    <x v="0"/>
    <x v="0"/>
    <x v="1"/>
  </r>
  <r>
    <x v="0"/>
    <x v="0"/>
    <x v="1"/>
    <x v="44"/>
    <x v="1"/>
    <x v="2"/>
    <x v="1"/>
    <x v="0"/>
    <x v="20"/>
    <x v="37"/>
    <x v="59"/>
    <x v="31"/>
    <x v="1"/>
    <x v="29"/>
    <x v="30"/>
    <x v="36"/>
    <x v="36"/>
    <x v="2"/>
    <x v="23"/>
    <x v="79"/>
    <x v="110"/>
    <x v="76"/>
    <x v="30"/>
    <x v="8"/>
    <x v="87"/>
    <x v="63"/>
    <x v="57"/>
    <x v="36"/>
    <x v="46"/>
    <x v="12"/>
    <x v="0"/>
    <x v="7"/>
    <x v="18"/>
    <x v="35"/>
    <x v="33"/>
    <x v="1"/>
    <x v="36"/>
    <x v="16"/>
    <x v="110"/>
    <x v="50"/>
    <x v="56"/>
    <x v="1"/>
    <x v="4"/>
    <x v="7"/>
    <x v="27"/>
    <x v="2"/>
    <x v="21"/>
    <x v="19"/>
    <x v="19"/>
    <x v="6"/>
    <x v="0"/>
    <x v="0"/>
    <x v="1"/>
    <x v="91"/>
    <x v="44"/>
    <x v="0"/>
    <x v="0"/>
    <x v="0"/>
    <x v="1"/>
  </r>
  <r>
    <x v="0"/>
    <x v="0"/>
    <x v="1"/>
    <x v="7"/>
    <x v="4"/>
    <x v="2"/>
    <x v="1"/>
    <x v="0"/>
    <x v="21"/>
    <x v="39"/>
    <x v="59"/>
    <x v="24"/>
    <x v="1"/>
    <x v="26"/>
    <x v="27"/>
    <x v="31"/>
    <x v="31"/>
    <x v="2"/>
    <x v="23"/>
    <x v="79"/>
    <x v="110"/>
    <x v="76"/>
    <x v="27"/>
    <x v="8"/>
    <x v="87"/>
    <x v="63"/>
    <x v="57"/>
    <x v="36"/>
    <x v="46"/>
    <x v="12"/>
    <x v="0"/>
    <x v="7"/>
    <x v="18"/>
    <x v="35"/>
    <x v="33"/>
    <x v="1"/>
    <x v="36"/>
    <x v="17"/>
    <x v="114"/>
    <x v="4"/>
    <x v="18"/>
    <x v="1"/>
    <x v="4"/>
    <x v="7"/>
    <x v="27"/>
    <x v="2"/>
    <x v="21"/>
    <x v="19"/>
    <x v="19"/>
    <x v="6"/>
    <x v="0"/>
    <x v="0"/>
    <x v="1"/>
    <x v="87"/>
    <x v="34"/>
    <x v="0"/>
    <x v="0"/>
    <x v="0"/>
    <x v="1"/>
  </r>
  <r>
    <x v="0"/>
    <x v="0"/>
    <x v="1"/>
    <x v="0"/>
    <x v="6"/>
    <x v="2"/>
    <x v="1"/>
    <x v="0"/>
    <x v="22"/>
    <x v="40"/>
    <x v="59"/>
    <x v="10"/>
    <x v="1"/>
    <x v="0"/>
    <x v="0"/>
    <x v="0"/>
    <x v="0"/>
    <x v="2"/>
    <x v="23"/>
    <x v="79"/>
    <x v="0"/>
    <x v="76"/>
    <x v="0"/>
    <x v="8"/>
    <x v="87"/>
    <x v="63"/>
    <x v="57"/>
    <x v="36"/>
    <x v="46"/>
    <x v="12"/>
    <x v="0"/>
    <x v="7"/>
    <x v="18"/>
    <x v="35"/>
    <x v="33"/>
    <x v="1"/>
    <x v="36"/>
    <x v="16"/>
    <x v="121"/>
    <x v="50"/>
    <x v="56"/>
    <x v="1"/>
    <x v="4"/>
    <x v="7"/>
    <x v="27"/>
    <x v="2"/>
    <x v="21"/>
    <x v="0"/>
    <x v="0"/>
    <x v="6"/>
    <x v="0"/>
    <x v="5"/>
    <x v="5"/>
    <x v="121"/>
    <x v="58"/>
    <x v="0"/>
    <x v="0"/>
    <x v="0"/>
    <x v="1"/>
  </r>
  <r>
    <x v="0"/>
    <x v="0"/>
    <x v="0"/>
    <x v="59"/>
    <x v="2"/>
    <x v="2"/>
    <x v="6"/>
    <x v="0"/>
    <x v="23"/>
    <x v="38"/>
    <x v="59"/>
    <x v="25"/>
    <x v="1"/>
    <x v="14"/>
    <x v="14"/>
    <x v="17"/>
    <x v="17"/>
    <x v="2"/>
    <x v="23"/>
    <x v="78"/>
    <x v="110"/>
    <x v="76"/>
    <x v="14"/>
    <x v="8"/>
    <x v="87"/>
    <x v="63"/>
    <x v="57"/>
    <x v="36"/>
    <x v="46"/>
    <x v="12"/>
    <x v="0"/>
    <x v="7"/>
    <x v="18"/>
    <x v="35"/>
    <x v="33"/>
    <x v="1"/>
    <x v="36"/>
    <x v="16"/>
    <x v="109"/>
    <x v="50"/>
    <x v="56"/>
    <x v="0"/>
    <x v="4"/>
    <x v="7"/>
    <x v="27"/>
    <x v="2"/>
    <x v="21"/>
    <x v="14"/>
    <x v="14"/>
    <x v="6"/>
    <x v="0"/>
    <x v="0"/>
    <x v="3"/>
    <x v="117"/>
    <x v="4"/>
    <x v="0"/>
    <x v="0"/>
    <x v="0"/>
    <x v="1"/>
  </r>
  <r>
    <x v="0"/>
    <x v="0"/>
    <x v="0"/>
    <x v="55"/>
    <x v="2"/>
    <x v="2"/>
    <x v="3"/>
    <x v="0"/>
    <x v="24"/>
    <x v="72"/>
    <x v="59"/>
    <x v="11"/>
    <x v="1"/>
    <x v="11"/>
    <x v="11"/>
    <x v="13"/>
    <x v="13"/>
    <x v="2"/>
    <x v="23"/>
    <x v="66"/>
    <x v="110"/>
    <x v="76"/>
    <x v="11"/>
    <x v="8"/>
    <x v="87"/>
    <x v="63"/>
    <x v="57"/>
    <x v="36"/>
    <x v="46"/>
    <x v="12"/>
    <x v="0"/>
    <x v="7"/>
    <x v="18"/>
    <x v="35"/>
    <x v="33"/>
    <x v="1"/>
    <x v="36"/>
    <x v="16"/>
    <x v="68"/>
    <x v="50"/>
    <x v="56"/>
    <x v="0"/>
    <x v="4"/>
    <x v="7"/>
    <x v="27"/>
    <x v="2"/>
    <x v="21"/>
    <x v="11"/>
    <x v="11"/>
    <x v="6"/>
    <x v="0"/>
    <x v="3"/>
    <x v="2"/>
    <x v="112"/>
    <x v="50"/>
    <x v="0"/>
    <x v="0"/>
    <x v="0"/>
    <x v="1"/>
  </r>
  <r>
    <x v="0"/>
    <x v="0"/>
    <x v="0"/>
    <x v="35"/>
    <x v="2"/>
    <x v="2"/>
    <x v="6"/>
    <x v="0"/>
    <x v="25"/>
    <x v="62"/>
    <x v="59"/>
    <x v="25"/>
    <x v="1"/>
    <x v="12"/>
    <x v="12"/>
    <x v="14"/>
    <x v="14"/>
    <x v="1"/>
    <x v="14"/>
    <x v="18"/>
    <x v="110"/>
    <x v="76"/>
    <x v="12"/>
    <x v="8"/>
    <x v="87"/>
    <x v="63"/>
    <x v="57"/>
    <x v="36"/>
    <x v="46"/>
    <x v="12"/>
    <x v="0"/>
    <x v="7"/>
    <x v="18"/>
    <x v="35"/>
    <x v="33"/>
    <x v="1"/>
    <x v="36"/>
    <x v="16"/>
    <x v="118"/>
    <x v="50"/>
    <x v="56"/>
    <x v="0"/>
    <x v="4"/>
    <x v="7"/>
    <x v="27"/>
    <x v="2"/>
    <x v="21"/>
    <x v="12"/>
    <x v="12"/>
    <x v="6"/>
    <x v="0"/>
    <x v="3"/>
    <x v="0"/>
    <x v="27"/>
    <x v="4"/>
    <x v="0"/>
    <x v="0"/>
    <x v="0"/>
    <x v="1"/>
  </r>
  <r>
    <x v="0"/>
    <x v="0"/>
    <x v="0"/>
    <x v="31"/>
    <x v="2"/>
    <x v="2"/>
    <x v="6"/>
    <x v="0"/>
    <x v="26"/>
    <x v="55"/>
    <x v="59"/>
    <x v="25"/>
    <x v="1"/>
    <x v="17"/>
    <x v="17"/>
    <x v="21"/>
    <x v="21"/>
    <x v="1"/>
    <x v="12"/>
    <x v="16"/>
    <x v="110"/>
    <x v="76"/>
    <x v="16"/>
    <x v="8"/>
    <x v="87"/>
    <x v="63"/>
    <x v="57"/>
    <x v="36"/>
    <x v="46"/>
    <x v="12"/>
    <x v="0"/>
    <x v="7"/>
    <x v="18"/>
    <x v="35"/>
    <x v="33"/>
    <x v="1"/>
    <x v="36"/>
    <x v="17"/>
    <x v="119"/>
    <x v="50"/>
    <x v="56"/>
    <x v="0"/>
    <x v="4"/>
    <x v="7"/>
    <x v="27"/>
    <x v="2"/>
    <x v="21"/>
    <x v="16"/>
    <x v="16"/>
    <x v="6"/>
    <x v="0"/>
    <x v="2"/>
    <x v="4"/>
    <x v="27"/>
    <x v="49"/>
    <x v="0"/>
    <x v="0"/>
    <x v="0"/>
    <x v="1"/>
  </r>
  <r>
    <x v="0"/>
    <x v="0"/>
    <x v="0"/>
    <x v="4"/>
    <x v="2"/>
    <x v="2"/>
    <x v="6"/>
    <x v="0"/>
    <x v="27"/>
    <x v="8"/>
    <x v="59"/>
    <x v="25"/>
    <x v="1"/>
    <x v="15"/>
    <x v="15"/>
    <x v="18"/>
    <x v="18"/>
    <x v="1"/>
    <x v="14"/>
    <x v="18"/>
    <x v="110"/>
    <x v="76"/>
    <x v="15"/>
    <x v="8"/>
    <x v="87"/>
    <x v="63"/>
    <x v="57"/>
    <x v="36"/>
    <x v="46"/>
    <x v="12"/>
    <x v="0"/>
    <x v="7"/>
    <x v="18"/>
    <x v="35"/>
    <x v="33"/>
    <x v="1"/>
    <x v="36"/>
    <x v="17"/>
    <x v="114"/>
    <x v="50"/>
    <x v="56"/>
    <x v="0"/>
    <x v="4"/>
    <x v="7"/>
    <x v="27"/>
    <x v="2"/>
    <x v="21"/>
    <x v="15"/>
    <x v="15"/>
    <x v="6"/>
    <x v="0"/>
    <x v="1"/>
    <x v="0"/>
    <x v="38"/>
    <x v="4"/>
    <x v="0"/>
    <x v="0"/>
    <x v="0"/>
    <x v="1"/>
  </r>
  <r>
    <x v="0"/>
    <x v="0"/>
    <x v="0"/>
    <x v="22"/>
    <x v="5"/>
    <x v="2"/>
    <x v="3"/>
    <x v="0"/>
    <x v="28"/>
    <x v="30"/>
    <x v="59"/>
    <x v="26"/>
    <x v="1"/>
    <x v="27"/>
    <x v="28"/>
    <x v="33"/>
    <x v="33"/>
    <x v="2"/>
    <x v="23"/>
    <x v="81"/>
    <x v="110"/>
    <x v="76"/>
    <x v="28"/>
    <x v="8"/>
    <x v="87"/>
    <x v="63"/>
    <x v="57"/>
    <x v="36"/>
    <x v="46"/>
    <x v="12"/>
    <x v="0"/>
    <x v="7"/>
    <x v="18"/>
    <x v="35"/>
    <x v="33"/>
    <x v="1"/>
    <x v="36"/>
    <x v="17"/>
    <x v="15"/>
    <x v="50"/>
    <x v="56"/>
    <x v="0"/>
    <x v="4"/>
    <x v="7"/>
    <x v="27"/>
    <x v="2"/>
    <x v="21"/>
    <x v="19"/>
    <x v="19"/>
    <x v="6"/>
    <x v="0"/>
    <x v="4"/>
    <x v="4"/>
    <x v="6"/>
    <x v="4"/>
    <x v="0"/>
    <x v="0"/>
    <x v="0"/>
    <x v="1"/>
  </r>
  <r>
    <x v="0"/>
    <x v="0"/>
    <x v="0"/>
    <x v="28"/>
    <x v="5"/>
    <x v="2"/>
    <x v="3"/>
    <x v="0"/>
    <x v="29"/>
    <x v="51"/>
    <x v="59"/>
    <x v="26"/>
    <x v="1"/>
    <x v="2"/>
    <x v="2"/>
    <x v="2"/>
    <x v="2"/>
    <x v="2"/>
    <x v="23"/>
    <x v="68"/>
    <x v="110"/>
    <x v="76"/>
    <x v="2"/>
    <x v="8"/>
    <x v="87"/>
    <x v="63"/>
    <x v="57"/>
    <x v="36"/>
    <x v="46"/>
    <x v="12"/>
    <x v="0"/>
    <x v="7"/>
    <x v="18"/>
    <x v="35"/>
    <x v="33"/>
    <x v="1"/>
    <x v="36"/>
    <x v="17"/>
    <x v="119"/>
    <x v="50"/>
    <x v="56"/>
    <x v="0"/>
    <x v="4"/>
    <x v="7"/>
    <x v="27"/>
    <x v="2"/>
    <x v="21"/>
    <x v="2"/>
    <x v="2"/>
    <x v="6"/>
    <x v="0"/>
    <x v="2"/>
    <x v="1"/>
    <x v="47"/>
    <x v="4"/>
    <x v="0"/>
    <x v="0"/>
    <x v="0"/>
    <x v="1"/>
  </r>
  <r>
    <x v="0"/>
    <x v="0"/>
    <x v="1"/>
    <x v="0"/>
    <x v="6"/>
    <x v="2"/>
    <x v="1"/>
    <x v="0"/>
    <x v="30"/>
    <x v="40"/>
    <x v="59"/>
    <x v="32"/>
    <x v="1"/>
    <x v="30"/>
    <x v="31"/>
    <x v="37"/>
    <x v="37"/>
    <x v="2"/>
    <x v="23"/>
    <x v="79"/>
    <x v="5"/>
    <x v="76"/>
    <x v="31"/>
    <x v="8"/>
    <x v="87"/>
    <x v="63"/>
    <x v="57"/>
    <x v="36"/>
    <x v="46"/>
    <x v="12"/>
    <x v="0"/>
    <x v="7"/>
    <x v="18"/>
    <x v="35"/>
    <x v="33"/>
    <x v="1"/>
    <x v="36"/>
    <x v="16"/>
    <x v="96"/>
    <x v="50"/>
    <x v="56"/>
    <x v="0"/>
    <x v="4"/>
    <x v="7"/>
    <x v="27"/>
    <x v="2"/>
    <x v="21"/>
    <x v="19"/>
    <x v="19"/>
    <x v="6"/>
    <x v="0"/>
    <x v="5"/>
    <x v="5"/>
    <x v="121"/>
    <x v="58"/>
    <x v="0"/>
    <x v="0"/>
    <x v="0"/>
    <x v="1"/>
  </r>
  <r>
    <x v="0"/>
    <x v="0"/>
    <x v="1"/>
    <x v="21"/>
    <x v="7"/>
    <x v="2"/>
    <x v="6"/>
    <x v="0"/>
    <x v="31"/>
    <x v="41"/>
    <x v="59"/>
    <x v="27"/>
    <x v="1"/>
    <x v="7"/>
    <x v="7"/>
    <x v="10"/>
    <x v="10"/>
    <x v="2"/>
    <x v="23"/>
    <x v="79"/>
    <x v="110"/>
    <x v="76"/>
    <x v="7"/>
    <x v="8"/>
    <x v="87"/>
    <x v="63"/>
    <x v="57"/>
    <x v="36"/>
    <x v="46"/>
    <x v="12"/>
    <x v="0"/>
    <x v="7"/>
    <x v="18"/>
    <x v="35"/>
    <x v="33"/>
    <x v="1"/>
    <x v="36"/>
    <x v="16"/>
    <x v="15"/>
    <x v="50"/>
    <x v="56"/>
    <x v="1"/>
    <x v="4"/>
    <x v="7"/>
    <x v="27"/>
    <x v="2"/>
    <x v="21"/>
    <x v="7"/>
    <x v="7"/>
    <x v="6"/>
    <x v="0"/>
    <x v="0"/>
    <x v="3"/>
    <x v="94"/>
    <x v="53"/>
    <x v="0"/>
    <x v="0"/>
    <x v="0"/>
    <x v="1"/>
  </r>
  <r>
    <x v="0"/>
    <x v="0"/>
    <x v="1"/>
    <x v="45"/>
    <x v="7"/>
    <x v="2"/>
    <x v="6"/>
    <x v="0"/>
    <x v="32"/>
    <x v="20"/>
    <x v="59"/>
    <x v="27"/>
    <x v="1"/>
    <x v="23"/>
    <x v="24"/>
    <x v="28"/>
    <x v="28"/>
    <x v="2"/>
    <x v="23"/>
    <x v="79"/>
    <x v="110"/>
    <x v="76"/>
    <x v="24"/>
    <x v="8"/>
    <x v="87"/>
    <x v="63"/>
    <x v="57"/>
    <x v="36"/>
    <x v="46"/>
    <x v="12"/>
    <x v="0"/>
    <x v="7"/>
    <x v="18"/>
    <x v="35"/>
    <x v="33"/>
    <x v="1"/>
    <x v="36"/>
    <x v="15"/>
    <x v="110"/>
    <x v="50"/>
    <x v="56"/>
    <x v="1"/>
    <x v="4"/>
    <x v="7"/>
    <x v="27"/>
    <x v="2"/>
    <x v="21"/>
    <x v="19"/>
    <x v="19"/>
    <x v="6"/>
    <x v="0"/>
    <x v="4"/>
    <x v="4"/>
    <x v="25"/>
    <x v="53"/>
    <x v="0"/>
    <x v="0"/>
    <x v="0"/>
    <x v="1"/>
  </r>
  <r>
    <x v="0"/>
    <x v="0"/>
    <x v="1"/>
    <x v="24"/>
    <x v="8"/>
    <x v="2"/>
    <x v="1"/>
    <x v="0"/>
    <x v="33"/>
    <x v="42"/>
    <x v="59"/>
    <x v="17"/>
    <x v="1"/>
    <x v="13"/>
    <x v="13"/>
    <x v="16"/>
    <x v="16"/>
    <x v="2"/>
    <x v="17"/>
    <x v="25"/>
    <x v="110"/>
    <x v="76"/>
    <x v="13"/>
    <x v="8"/>
    <x v="87"/>
    <x v="63"/>
    <x v="57"/>
    <x v="36"/>
    <x v="46"/>
    <x v="12"/>
    <x v="0"/>
    <x v="7"/>
    <x v="18"/>
    <x v="35"/>
    <x v="33"/>
    <x v="1"/>
    <x v="36"/>
    <x v="18"/>
    <x v="106"/>
    <x v="50"/>
    <x v="56"/>
    <x v="0"/>
    <x v="4"/>
    <x v="7"/>
    <x v="27"/>
    <x v="2"/>
    <x v="21"/>
    <x v="13"/>
    <x v="13"/>
    <x v="6"/>
    <x v="0"/>
    <x v="0"/>
    <x v="2"/>
    <x v="105"/>
    <x v="52"/>
    <x v="0"/>
    <x v="0"/>
    <x v="0"/>
    <x v="1"/>
  </r>
  <r>
    <x v="0"/>
    <x v="0"/>
    <x v="1"/>
    <x v="24"/>
    <x v="8"/>
    <x v="2"/>
    <x v="1"/>
    <x v="0"/>
    <x v="34"/>
    <x v="42"/>
    <x v="59"/>
    <x v="17"/>
    <x v="1"/>
    <x v="1"/>
    <x v="1"/>
    <x v="1"/>
    <x v="1"/>
    <x v="2"/>
    <x v="23"/>
    <x v="79"/>
    <x v="110"/>
    <x v="76"/>
    <x v="1"/>
    <x v="8"/>
    <x v="87"/>
    <x v="63"/>
    <x v="57"/>
    <x v="36"/>
    <x v="46"/>
    <x v="12"/>
    <x v="0"/>
    <x v="7"/>
    <x v="18"/>
    <x v="35"/>
    <x v="33"/>
    <x v="1"/>
    <x v="36"/>
    <x v="18"/>
    <x v="110"/>
    <x v="50"/>
    <x v="56"/>
    <x v="0"/>
    <x v="4"/>
    <x v="7"/>
    <x v="27"/>
    <x v="2"/>
    <x v="21"/>
    <x v="1"/>
    <x v="1"/>
    <x v="6"/>
    <x v="0"/>
    <x v="2"/>
    <x v="0"/>
    <x v="68"/>
    <x v="2"/>
    <x v="0"/>
    <x v="0"/>
    <x v="0"/>
    <x v="1"/>
  </r>
  <r>
    <x v="0"/>
    <x v="0"/>
    <x v="1"/>
    <x v="36"/>
    <x v="8"/>
    <x v="2"/>
    <x v="1"/>
    <x v="0"/>
    <x v="35"/>
    <x v="42"/>
    <x v="59"/>
    <x v="17"/>
    <x v="1"/>
    <x v="4"/>
    <x v="4"/>
    <x v="5"/>
    <x v="5"/>
    <x v="2"/>
    <x v="23"/>
    <x v="79"/>
    <x v="110"/>
    <x v="76"/>
    <x v="4"/>
    <x v="8"/>
    <x v="87"/>
    <x v="63"/>
    <x v="57"/>
    <x v="36"/>
    <x v="46"/>
    <x v="12"/>
    <x v="0"/>
    <x v="7"/>
    <x v="18"/>
    <x v="35"/>
    <x v="33"/>
    <x v="1"/>
    <x v="36"/>
    <x v="18"/>
    <x v="109"/>
    <x v="50"/>
    <x v="56"/>
    <x v="0"/>
    <x v="4"/>
    <x v="7"/>
    <x v="27"/>
    <x v="2"/>
    <x v="21"/>
    <x v="4"/>
    <x v="4"/>
    <x v="6"/>
    <x v="0"/>
    <x v="2"/>
    <x v="2"/>
    <x v="50"/>
    <x v="2"/>
    <x v="0"/>
    <x v="0"/>
    <x v="0"/>
    <x v="1"/>
  </r>
  <r>
    <x v="0"/>
    <x v="0"/>
    <x v="1"/>
    <x v="36"/>
    <x v="8"/>
    <x v="2"/>
    <x v="1"/>
    <x v="0"/>
    <x v="36"/>
    <x v="42"/>
    <x v="59"/>
    <x v="17"/>
    <x v="1"/>
    <x v="9"/>
    <x v="9"/>
    <x v="11"/>
    <x v="11"/>
    <x v="2"/>
    <x v="23"/>
    <x v="79"/>
    <x v="110"/>
    <x v="76"/>
    <x v="9"/>
    <x v="8"/>
    <x v="87"/>
    <x v="63"/>
    <x v="57"/>
    <x v="36"/>
    <x v="46"/>
    <x v="12"/>
    <x v="0"/>
    <x v="7"/>
    <x v="18"/>
    <x v="35"/>
    <x v="33"/>
    <x v="1"/>
    <x v="36"/>
    <x v="18"/>
    <x v="109"/>
    <x v="50"/>
    <x v="56"/>
    <x v="0"/>
    <x v="4"/>
    <x v="7"/>
    <x v="27"/>
    <x v="2"/>
    <x v="21"/>
    <x v="9"/>
    <x v="9"/>
    <x v="6"/>
    <x v="0"/>
    <x v="0"/>
    <x v="3"/>
    <x v="116"/>
    <x v="2"/>
    <x v="0"/>
    <x v="0"/>
    <x v="0"/>
    <x v="1"/>
  </r>
  <r>
    <x v="0"/>
    <x v="0"/>
    <x v="1"/>
    <x v="15"/>
    <x v="9"/>
    <x v="2"/>
    <x v="1"/>
    <x v="0"/>
    <x v="37"/>
    <x v="43"/>
    <x v="59"/>
    <x v="18"/>
    <x v="1"/>
    <x v="18"/>
    <x v="18"/>
    <x v="22"/>
    <x v="22"/>
    <x v="2"/>
    <x v="23"/>
    <x v="79"/>
    <x v="110"/>
    <x v="76"/>
    <x v="17"/>
    <x v="8"/>
    <x v="87"/>
    <x v="63"/>
    <x v="57"/>
    <x v="36"/>
    <x v="46"/>
    <x v="12"/>
    <x v="0"/>
    <x v="7"/>
    <x v="18"/>
    <x v="35"/>
    <x v="33"/>
    <x v="1"/>
    <x v="36"/>
    <x v="14"/>
    <x v="96"/>
    <x v="19"/>
    <x v="46"/>
    <x v="0"/>
    <x v="4"/>
    <x v="7"/>
    <x v="27"/>
    <x v="2"/>
    <x v="21"/>
    <x v="17"/>
    <x v="17"/>
    <x v="6"/>
    <x v="0"/>
    <x v="2"/>
    <x v="1"/>
    <x v="66"/>
    <x v="6"/>
    <x v="0"/>
    <x v="0"/>
    <x v="0"/>
    <x v="1"/>
  </r>
  <r>
    <x v="0"/>
    <x v="0"/>
    <x v="1"/>
    <x v="15"/>
    <x v="9"/>
    <x v="2"/>
    <x v="1"/>
    <x v="0"/>
    <x v="38"/>
    <x v="42"/>
    <x v="59"/>
    <x v="18"/>
    <x v="1"/>
    <x v="3"/>
    <x v="3"/>
    <x v="3"/>
    <x v="3"/>
    <x v="2"/>
    <x v="23"/>
    <x v="79"/>
    <x v="110"/>
    <x v="76"/>
    <x v="3"/>
    <x v="8"/>
    <x v="87"/>
    <x v="63"/>
    <x v="57"/>
    <x v="36"/>
    <x v="46"/>
    <x v="12"/>
    <x v="0"/>
    <x v="7"/>
    <x v="18"/>
    <x v="35"/>
    <x v="33"/>
    <x v="1"/>
    <x v="36"/>
    <x v="14"/>
    <x v="110"/>
    <x v="50"/>
    <x v="56"/>
    <x v="0"/>
    <x v="4"/>
    <x v="7"/>
    <x v="27"/>
    <x v="2"/>
    <x v="21"/>
    <x v="3"/>
    <x v="3"/>
    <x v="6"/>
    <x v="0"/>
    <x v="2"/>
    <x v="0"/>
    <x v="65"/>
    <x v="2"/>
    <x v="0"/>
    <x v="0"/>
    <x v="0"/>
    <x v="1"/>
  </r>
  <r>
    <x v="0"/>
    <x v="0"/>
    <x v="1"/>
    <x v="33"/>
    <x v="9"/>
    <x v="2"/>
    <x v="1"/>
    <x v="0"/>
    <x v="39"/>
    <x v="43"/>
    <x v="59"/>
    <x v="12"/>
    <x v="1"/>
    <x v="6"/>
    <x v="6"/>
    <x v="8"/>
    <x v="8"/>
    <x v="2"/>
    <x v="23"/>
    <x v="79"/>
    <x v="110"/>
    <x v="76"/>
    <x v="6"/>
    <x v="8"/>
    <x v="87"/>
    <x v="63"/>
    <x v="57"/>
    <x v="36"/>
    <x v="46"/>
    <x v="12"/>
    <x v="0"/>
    <x v="7"/>
    <x v="18"/>
    <x v="35"/>
    <x v="33"/>
    <x v="1"/>
    <x v="36"/>
    <x v="14"/>
    <x v="112"/>
    <x v="50"/>
    <x v="56"/>
    <x v="0"/>
    <x v="4"/>
    <x v="7"/>
    <x v="27"/>
    <x v="2"/>
    <x v="21"/>
    <x v="6"/>
    <x v="6"/>
    <x v="6"/>
    <x v="0"/>
    <x v="0"/>
    <x v="0"/>
    <x v="115"/>
    <x v="2"/>
    <x v="0"/>
    <x v="0"/>
    <x v="0"/>
    <x v="1"/>
  </r>
  <r>
    <x v="0"/>
    <x v="0"/>
    <x v="1"/>
    <x v="34"/>
    <x v="12"/>
    <x v="2"/>
    <x v="1"/>
    <x v="0"/>
    <x v="40"/>
    <x v="42"/>
    <x v="59"/>
    <x v="28"/>
    <x v="1"/>
    <x v="13"/>
    <x v="13"/>
    <x v="15"/>
    <x v="15"/>
    <x v="2"/>
    <x v="23"/>
    <x v="79"/>
    <x v="110"/>
    <x v="76"/>
    <x v="13"/>
    <x v="8"/>
    <x v="87"/>
    <x v="63"/>
    <x v="57"/>
    <x v="36"/>
    <x v="46"/>
    <x v="12"/>
    <x v="0"/>
    <x v="7"/>
    <x v="18"/>
    <x v="35"/>
    <x v="33"/>
    <x v="1"/>
    <x v="36"/>
    <x v="17"/>
    <x v="115"/>
    <x v="50"/>
    <x v="56"/>
    <x v="0"/>
    <x v="4"/>
    <x v="7"/>
    <x v="27"/>
    <x v="2"/>
    <x v="21"/>
    <x v="13"/>
    <x v="13"/>
    <x v="6"/>
    <x v="0"/>
    <x v="2"/>
    <x v="1"/>
    <x v="57"/>
    <x v="48"/>
    <x v="0"/>
    <x v="0"/>
    <x v="0"/>
    <x v="1"/>
  </r>
  <r>
    <x v="0"/>
    <x v="0"/>
    <x v="1"/>
    <x v="56"/>
    <x v="12"/>
    <x v="2"/>
    <x v="1"/>
    <x v="0"/>
    <x v="41"/>
    <x v="42"/>
    <x v="59"/>
    <x v="28"/>
    <x v="1"/>
    <x v="25"/>
    <x v="26"/>
    <x v="30"/>
    <x v="30"/>
    <x v="2"/>
    <x v="23"/>
    <x v="81"/>
    <x v="110"/>
    <x v="76"/>
    <x v="26"/>
    <x v="8"/>
    <x v="87"/>
    <x v="63"/>
    <x v="57"/>
    <x v="36"/>
    <x v="46"/>
    <x v="12"/>
    <x v="0"/>
    <x v="7"/>
    <x v="18"/>
    <x v="35"/>
    <x v="33"/>
    <x v="1"/>
    <x v="36"/>
    <x v="17"/>
    <x v="117"/>
    <x v="50"/>
    <x v="56"/>
    <x v="0"/>
    <x v="4"/>
    <x v="7"/>
    <x v="27"/>
    <x v="2"/>
    <x v="21"/>
    <x v="19"/>
    <x v="19"/>
    <x v="6"/>
    <x v="0"/>
    <x v="2"/>
    <x v="2"/>
    <x v="97"/>
    <x v="48"/>
    <x v="0"/>
    <x v="0"/>
    <x v="0"/>
    <x v="1"/>
  </r>
  <r>
    <x v="0"/>
    <x v="0"/>
    <x v="0"/>
    <x v="14"/>
    <x v="11"/>
    <x v="2"/>
    <x v="3"/>
    <x v="0"/>
    <x v="42"/>
    <x v="58"/>
    <x v="59"/>
    <x v="13"/>
    <x v="1"/>
    <x v="26"/>
    <x v="27"/>
    <x v="31"/>
    <x v="31"/>
    <x v="2"/>
    <x v="23"/>
    <x v="79"/>
    <x v="110"/>
    <x v="76"/>
    <x v="27"/>
    <x v="8"/>
    <x v="87"/>
    <x v="63"/>
    <x v="57"/>
    <x v="36"/>
    <x v="46"/>
    <x v="12"/>
    <x v="0"/>
    <x v="7"/>
    <x v="18"/>
    <x v="35"/>
    <x v="33"/>
    <x v="1"/>
    <x v="36"/>
    <x v="17"/>
    <x v="96"/>
    <x v="50"/>
    <x v="56"/>
    <x v="0"/>
    <x v="4"/>
    <x v="7"/>
    <x v="27"/>
    <x v="2"/>
    <x v="21"/>
    <x v="19"/>
    <x v="19"/>
    <x v="6"/>
    <x v="0"/>
    <x v="2"/>
    <x v="1"/>
    <x v="81"/>
    <x v="4"/>
    <x v="0"/>
    <x v="0"/>
    <x v="0"/>
    <x v="1"/>
  </r>
  <r>
    <x v="0"/>
    <x v="0"/>
    <x v="1"/>
    <x v="19"/>
    <x v="15"/>
    <x v="2"/>
    <x v="0"/>
    <x v="0"/>
    <x v="43"/>
    <x v="46"/>
    <x v="59"/>
    <x v="33"/>
    <x v="1"/>
    <x v="32"/>
    <x v="33"/>
    <x v="38"/>
    <x v="38"/>
    <x v="2"/>
    <x v="23"/>
    <x v="79"/>
    <x v="110"/>
    <x v="76"/>
    <x v="32"/>
    <x v="8"/>
    <x v="87"/>
    <x v="63"/>
    <x v="57"/>
    <x v="36"/>
    <x v="46"/>
    <x v="12"/>
    <x v="0"/>
    <x v="7"/>
    <x v="18"/>
    <x v="35"/>
    <x v="33"/>
    <x v="1"/>
    <x v="36"/>
    <x v="14"/>
    <x v="116"/>
    <x v="50"/>
    <x v="56"/>
    <x v="0"/>
    <x v="4"/>
    <x v="7"/>
    <x v="27"/>
    <x v="2"/>
    <x v="21"/>
    <x v="19"/>
    <x v="19"/>
    <x v="6"/>
    <x v="0"/>
    <x v="2"/>
    <x v="1"/>
    <x v="76"/>
    <x v="2"/>
    <x v="0"/>
    <x v="0"/>
    <x v="0"/>
    <x v="1"/>
  </r>
  <r>
    <x v="0"/>
    <x v="0"/>
    <x v="1"/>
    <x v="19"/>
    <x v="15"/>
    <x v="2"/>
    <x v="0"/>
    <x v="0"/>
    <x v="44"/>
    <x v="42"/>
    <x v="59"/>
    <x v="33"/>
    <x v="1"/>
    <x v="19"/>
    <x v="19"/>
    <x v="23"/>
    <x v="23"/>
    <x v="2"/>
    <x v="23"/>
    <x v="79"/>
    <x v="110"/>
    <x v="76"/>
    <x v="19"/>
    <x v="8"/>
    <x v="87"/>
    <x v="63"/>
    <x v="57"/>
    <x v="36"/>
    <x v="46"/>
    <x v="12"/>
    <x v="0"/>
    <x v="7"/>
    <x v="18"/>
    <x v="35"/>
    <x v="33"/>
    <x v="1"/>
    <x v="36"/>
    <x v="14"/>
    <x v="115"/>
    <x v="50"/>
    <x v="56"/>
    <x v="1"/>
    <x v="4"/>
    <x v="7"/>
    <x v="27"/>
    <x v="2"/>
    <x v="21"/>
    <x v="18"/>
    <x v="18"/>
    <x v="6"/>
    <x v="0"/>
    <x v="1"/>
    <x v="1"/>
    <x v="52"/>
    <x v="2"/>
    <x v="0"/>
    <x v="0"/>
    <x v="0"/>
    <x v="1"/>
  </r>
  <r>
    <x v="0"/>
    <x v="0"/>
    <x v="1"/>
    <x v="16"/>
    <x v="8"/>
    <x v="2"/>
    <x v="1"/>
    <x v="0"/>
    <x v="45"/>
    <x v="42"/>
    <x v="59"/>
    <x v="19"/>
    <x v="1"/>
    <x v="7"/>
    <x v="7"/>
    <x v="9"/>
    <x v="9"/>
    <x v="2"/>
    <x v="23"/>
    <x v="81"/>
    <x v="110"/>
    <x v="76"/>
    <x v="7"/>
    <x v="8"/>
    <x v="87"/>
    <x v="63"/>
    <x v="57"/>
    <x v="36"/>
    <x v="46"/>
    <x v="12"/>
    <x v="0"/>
    <x v="7"/>
    <x v="18"/>
    <x v="35"/>
    <x v="33"/>
    <x v="1"/>
    <x v="36"/>
    <x v="18"/>
    <x v="106"/>
    <x v="50"/>
    <x v="56"/>
    <x v="1"/>
    <x v="4"/>
    <x v="7"/>
    <x v="27"/>
    <x v="2"/>
    <x v="21"/>
    <x v="7"/>
    <x v="7"/>
    <x v="6"/>
    <x v="0"/>
    <x v="2"/>
    <x v="2"/>
    <x v="106"/>
    <x v="2"/>
    <x v="0"/>
    <x v="0"/>
    <x v="0"/>
    <x v="1"/>
  </r>
  <r>
    <x v="0"/>
    <x v="0"/>
    <x v="1"/>
    <x v="16"/>
    <x v="8"/>
    <x v="2"/>
    <x v="1"/>
    <x v="0"/>
    <x v="46"/>
    <x v="42"/>
    <x v="59"/>
    <x v="19"/>
    <x v="1"/>
    <x v="21"/>
    <x v="21"/>
    <x v="25"/>
    <x v="25"/>
    <x v="2"/>
    <x v="23"/>
    <x v="79"/>
    <x v="110"/>
    <x v="76"/>
    <x v="21"/>
    <x v="8"/>
    <x v="87"/>
    <x v="63"/>
    <x v="57"/>
    <x v="36"/>
    <x v="46"/>
    <x v="12"/>
    <x v="0"/>
    <x v="7"/>
    <x v="18"/>
    <x v="35"/>
    <x v="33"/>
    <x v="1"/>
    <x v="36"/>
    <x v="18"/>
    <x v="112"/>
    <x v="50"/>
    <x v="56"/>
    <x v="1"/>
    <x v="4"/>
    <x v="7"/>
    <x v="27"/>
    <x v="2"/>
    <x v="21"/>
    <x v="19"/>
    <x v="19"/>
    <x v="6"/>
    <x v="0"/>
    <x v="2"/>
    <x v="1"/>
    <x v="71"/>
    <x v="2"/>
    <x v="0"/>
    <x v="0"/>
    <x v="0"/>
    <x v="1"/>
  </r>
  <r>
    <x v="0"/>
    <x v="0"/>
    <x v="1"/>
    <x v="33"/>
    <x v="9"/>
    <x v="2"/>
    <x v="1"/>
    <x v="0"/>
    <x v="47"/>
    <x v="43"/>
    <x v="59"/>
    <x v="20"/>
    <x v="1"/>
    <x v="20"/>
    <x v="20"/>
    <x v="24"/>
    <x v="24"/>
    <x v="2"/>
    <x v="23"/>
    <x v="78"/>
    <x v="110"/>
    <x v="76"/>
    <x v="20"/>
    <x v="8"/>
    <x v="87"/>
    <x v="63"/>
    <x v="57"/>
    <x v="36"/>
    <x v="46"/>
    <x v="12"/>
    <x v="0"/>
    <x v="7"/>
    <x v="18"/>
    <x v="35"/>
    <x v="33"/>
    <x v="1"/>
    <x v="36"/>
    <x v="18"/>
    <x v="106"/>
    <x v="50"/>
    <x v="56"/>
    <x v="1"/>
    <x v="4"/>
    <x v="7"/>
    <x v="27"/>
    <x v="2"/>
    <x v="21"/>
    <x v="19"/>
    <x v="19"/>
    <x v="6"/>
    <x v="0"/>
    <x v="2"/>
    <x v="1"/>
    <x v="51"/>
    <x v="0"/>
    <x v="0"/>
    <x v="0"/>
    <x v="0"/>
    <x v="1"/>
  </r>
  <r>
    <x v="0"/>
    <x v="0"/>
    <x v="1"/>
    <x v="29"/>
    <x v="14"/>
    <x v="2"/>
    <x v="1"/>
    <x v="0"/>
    <x v="48"/>
    <x v="45"/>
    <x v="59"/>
    <x v="29"/>
    <x v="1"/>
    <x v="28"/>
    <x v="29"/>
    <x v="34"/>
    <x v="34"/>
    <x v="2"/>
    <x v="23"/>
    <x v="78"/>
    <x v="110"/>
    <x v="76"/>
    <x v="29"/>
    <x v="8"/>
    <x v="87"/>
    <x v="63"/>
    <x v="57"/>
    <x v="36"/>
    <x v="46"/>
    <x v="12"/>
    <x v="0"/>
    <x v="7"/>
    <x v="18"/>
    <x v="35"/>
    <x v="33"/>
    <x v="1"/>
    <x v="36"/>
    <x v="17"/>
    <x v="42"/>
    <x v="15"/>
    <x v="55"/>
    <x v="0"/>
    <x v="4"/>
    <x v="7"/>
    <x v="27"/>
    <x v="2"/>
    <x v="21"/>
    <x v="19"/>
    <x v="19"/>
    <x v="6"/>
    <x v="0"/>
    <x v="4"/>
    <x v="4"/>
    <x v="3"/>
    <x v="52"/>
    <x v="0"/>
    <x v="0"/>
    <x v="0"/>
    <x v="1"/>
  </r>
  <r>
    <x v="0"/>
    <x v="0"/>
    <x v="1"/>
    <x v="58"/>
    <x v="12"/>
    <x v="2"/>
    <x v="1"/>
    <x v="0"/>
    <x v="49"/>
    <x v="44"/>
    <x v="59"/>
    <x v="30"/>
    <x v="1"/>
    <x v="4"/>
    <x v="4"/>
    <x v="5"/>
    <x v="5"/>
    <x v="2"/>
    <x v="23"/>
    <x v="79"/>
    <x v="110"/>
    <x v="76"/>
    <x v="4"/>
    <x v="8"/>
    <x v="87"/>
    <x v="63"/>
    <x v="57"/>
    <x v="36"/>
    <x v="46"/>
    <x v="12"/>
    <x v="0"/>
    <x v="7"/>
    <x v="18"/>
    <x v="35"/>
    <x v="33"/>
    <x v="1"/>
    <x v="36"/>
    <x v="17"/>
    <x v="114"/>
    <x v="50"/>
    <x v="56"/>
    <x v="0"/>
    <x v="4"/>
    <x v="7"/>
    <x v="27"/>
    <x v="2"/>
    <x v="21"/>
    <x v="4"/>
    <x v="4"/>
    <x v="6"/>
    <x v="0"/>
    <x v="2"/>
    <x v="2"/>
    <x v="60"/>
    <x v="51"/>
    <x v="0"/>
    <x v="0"/>
    <x v="0"/>
    <x v="1"/>
  </r>
  <r>
    <x v="0"/>
    <x v="0"/>
    <x v="0"/>
    <x v="17"/>
    <x v="16"/>
    <x v="2"/>
    <x v="6"/>
    <x v="0"/>
    <x v="50"/>
    <x v="45"/>
    <x v="59"/>
    <x v="14"/>
    <x v="1"/>
    <x v="4"/>
    <x v="4"/>
    <x v="4"/>
    <x v="4"/>
    <x v="2"/>
    <x v="23"/>
    <x v="81"/>
    <x v="110"/>
    <x v="76"/>
    <x v="4"/>
    <x v="8"/>
    <x v="87"/>
    <x v="63"/>
    <x v="57"/>
    <x v="36"/>
    <x v="46"/>
    <x v="12"/>
    <x v="0"/>
    <x v="7"/>
    <x v="18"/>
    <x v="35"/>
    <x v="33"/>
    <x v="1"/>
    <x v="36"/>
    <x v="16"/>
    <x v="117"/>
    <x v="50"/>
    <x v="56"/>
    <x v="1"/>
    <x v="4"/>
    <x v="7"/>
    <x v="27"/>
    <x v="2"/>
    <x v="21"/>
    <x v="4"/>
    <x v="4"/>
    <x v="6"/>
    <x v="0"/>
    <x v="1"/>
    <x v="0"/>
    <x v="60"/>
    <x v="52"/>
    <x v="0"/>
    <x v="0"/>
    <x v="0"/>
    <x v="1"/>
  </r>
  <r>
    <x v="0"/>
    <x v="0"/>
    <x v="0"/>
    <x v="17"/>
    <x v="16"/>
    <x v="2"/>
    <x v="6"/>
    <x v="0"/>
    <x v="51"/>
    <x v="25"/>
    <x v="59"/>
    <x v="15"/>
    <x v="1"/>
    <x v="5"/>
    <x v="5"/>
    <x v="7"/>
    <x v="7"/>
    <x v="2"/>
    <x v="23"/>
    <x v="79"/>
    <x v="110"/>
    <x v="76"/>
    <x v="5"/>
    <x v="8"/>
    <x v="87"/>
    <x v="63"/>
    <x v="57"/>
    <x v="36"/>
    <x v="46"/>
    <x v="12"/>
    <x v="0"/>
    <x v="7"/>
    <x v="18"/>
    <x v="35"/>
    <x v="33"/>
    <x v="1"/>
    <x v="36"/>
    <x v="16"/>
    <x v="13"/>
    <x v="50"/>
    <x v="56"/>
    <x v="1"/>
    <x v="4"/>
    <x v="7"/>
    <x v="27"/>
    <x v="2"/>
    <x v="21"/>
    <x v="5"/>
    <x v="5"/>
    <x v="6"/>
    <x v="0"/>
    <x v="4"/>
    <x v="1"/>
    <x v="63"/>
    <x v="52"/>
    <x v="0"/>
    <x v="0"/>
    <x v="0"/>
    <x v="1"/>
  </r>
  <r>
    <x v="0"/>
    <x v="0"/>
    <x v="0"/>
    <x v="17"/>
    <x v="16"/>
    <x v="2"/>
    <x v="6"/>
    <x v="0"/>
    <x v="52"/>
    <x v="24"/>
    <x v="59"/>
    <x v="16"/>
    <x v="1"/>
    <x v="5"/>
    <x v="5"/>
    <x v="6"/>
    <x v="6"/>
    <x v="2"/>
    <x v="23"/>
    <x v="81"/>
    <x v="110"/>
    <x v="76"/>
    <x v="5"/>
    <x v="8"/>
    <x v="87"/>
    <x v="63"/>
    <x v="57"/>
    <x v="36"/>
    <x v="46"/>
    <x v="12"/>
    <x v="0"/>
    <x v="7"/>
    <x v="18"/>
    <x v="35"/>
    <x v="33"/>
    <x v="1"/>
    <x v="36"/>
    <x v="16"/>
    <x v="115"/>
    <x v="50"/>
    <x v="56"/>
    <x v="1"/>
    <x v="4"/>
    <x v="7"/>
    <x v="27"/>
    <x v="2"/>
    <x v="21"/>
    <x v="5"/>
    <x v="5"/>
    <x v="6"/>
    <x v="0"/>
    <x v="1"/>
    <x v="0"/>
    <x v="49"/>
    <x v="52"/>
    <x v="0"/>
    <x v="0"/>
    <x v="0"/>
    <x v="1"/>
  </r>
  <r>
    <x v="0"/>
    <x v="0"/>
    <x v="0"/>
    <x v="37"/>
    <x v="17"/>
    <x v="2"/>
    <x v="2"/>
    <x v="0"/>
    <x v="53"/>
    <x v="12"/>
    <x v="59"/>
    <x v="21"/>
    <x v="1"/>
    <x v="22"/>
    <x v="22"/>
    <x v="26"/>
    <x v="26"/>
    <x v="2"/>
    <x v="17"/>
    <x v="24"/>
    <x v="110"/>
    <x v="76"/>
    <x v="22"/>
    <x v="8"/>
    <x v="87"/>
    <x v="63"/>
    <x v="57"/>
    <x v="36"/>
    <x v="46"/>
    <x v="12"/>
    <x v="0"/>
    <x v="7"/>
    <x v="18"/>
    <x v="35"/>
    <x v="33"/>
    <x v="1"/>
    <x v="36"/>
    <x v="16"/>
    <x v="110"/>
    <x v="50"/>
    <x v="56"/>
    <x v="0"/>
    <x v="4"/>
    <x v="7"/>
    <x v="27"/>
    <x v="2"/>
    <x v="21"/>
    <x v="19"/>
    <x v="19"/>
    <x v="6"/>
    <x v="0"/>
    <x v="4"/>
    <x v="4"/>
    <x v="3"/>
    <x v="3"/>
    <x v="0"/>
    <x v="0"/>
    <x v="0"/>
    <x v="1"/>
  </r>
  <r>
    <x v="0"/>
    <x v="0"/>
    <x v="0"/>
    <x v="37"/>
    <x v="17"/>
    <x v="2"/>
    <x v="6"/>
    <x v="0"/>
    <x v="54"/>
    <x v="11"/>
    <x v="59"/>
    <x v="22"/>
    <x v="1"/>
    <x v="10"/>
    <x v="10"/>
    <x v="12"/>
    <x v="12"/>
    <x v="2"/>
    <x v="23"/>
    <x v="81"/>
    <x v="110"/>
    <x v="76"/>
    <x v="10"/>
    <x v="8"/>
    <x v="87"/>
    <x v="63"/>
    <x v="57"/>
    <x v="36"/>
    <x v="46"/>
    <x v="12"/>
    <x v="0"/>
    <x v="7"/>
    <x v="18"/>
    <x v="35"/>
    <x v="33"/>
    <x v="1"/>
    <x v="36"/>
    <x v="16"/>
    <x v="96"/>
    <x v="50"/>
    <x v="56"/>
    <x v="1"/>
    <x v="4"/>
    <x v="7"/>
    <x v="27"/>
    <x v="2"/>
    <x v="21"/>
    <x v="10"/>
    <x v="10"/>
    <x v="6"/>
    <x v="0"/>
    <x v="2"/>
    <x v="1"/>
    <x v="67"/>
    <x v="3"/>
    <x v="0"/>
    <x v="0"/>
    <x v="0"/>
    <x v="1"/>
  </r>
  <r>
    <x v="0"/>
    <x v="0"/>
    <x v="0"/>
    <x v="37"/>
    <x v="17"/>
    <x v="2"/>
    <x v="6"/>
    <x v="0"/>
    <x v="55"/>
    <x v="11"/>
    <x v="59"/>
    <x v="22"/>
    <x v="1"/>
    <x v="8"/>
    <x v="8"/>
    <x v="11"/>
    <x v="11"/>
    <x v="2"/>
    <x v="23"/>
    <x v="81"/>
    <x v="110"/>
    <x v="76"/>
    <x v="8"/>
    <x v="8"/>
    <x v="87"/>
    <x v="63"/>
    <x v="57"/>
    <x v="36"/>
    <x v="46"/>
    <x v="12"/>
    <x v="0"/>
    <x v="7"/>
    <x v="18"/>
    <x v="35"/>
    <x v="33"/>
    <x v="1"/>
    <x v="36"/>
    <x v="16"/>
    <x v="80"/>
    <x v="50"/>
    <x v="56"/>
    <x v="1"/>
    <x v="4"/>
    <x v="7"/>
    <x v="27"/>
    <x v="2"/>
    <x v="21"/>
    <x v="8"/>
    <x v="8"/>
    <x v="6"/>
    <x v="0"/>
    <x v="2"/>
    <x v="4"/>
    <x v="49"/>
    <x v="3"/>
    <x v="0"/>
    <x v="0"/>
    <x v="0"/>
    <x v="1"/>
  </r>
  <r>
    <x v="0"/>
    <x v="0"/>
    <x v="0"/>
    <x v="37"/>
    <x v="17"/>
    <x v="2"/>
    <x v="6"/>
    <x v="0"/>
    <x v="56"/>
    <x v="11"/>
    <x v="59"/>
    <x v="22"/>
    <x v="1"/>
    <x v="8"/>
    <x v="8"/>
    <x v="11"/>
    <x v="11"/>
    <x v="2"/>
    <x v="23"/>
    <x v="81"/>
    <x v="110"/>
    <x v="76"/>
    <x v="8"/>
    <x v="8"/>
    <x v="87"/>
    <x v="63"/>
    <x v="57"/>
    <x v="36"/>
    <x v="46"/>
    <x v="12"/>
    <x v="0"/>
    <x v="7"/>
    <x v="18"/>
    <x v="35"/>
    <x v="33"/>
    <x v="1"/>
    <x v="36"/>
    <x v="16"/>
    <x v="114"/>
    <x v="50"/>
    <x v="56"/>
    <x v="1"/>
    <x v="4"/>
    <x v="7"/>
    <x v="27"/>
    <x v="2"/>
    <x v="21"/>
    <x v="8"/>
    <x v="8"/>
    <x v="6"/>
    <x v="0"/>
    <x v="1"/>
    <x v="1"/>
    <x v="54"/>
    <x v="3"/>
    <x v="0"/>
    <x v="0"/>
    <x v="0"/>
    <x v="1"/>
  </r>
  <r>
    <x v="0"/>
    <x v="0"/>
    <x v="1"/>
    <x v="9"/>
    <x v="7"/>
    <x v="2"/>
    <x v="6"/>
    <x v="0"/>
    <x v="57"/>
    <x v="50"/>
    <x v="26"/>
    <x v="40"/>
    <x v="1"/>
    <x v="55"/>
    <x v="58"/>
    <x v="67"/>
    <x v="67"/>
    <x v="3"/>
    <x v="14"/>
    <x v="65"/>
    <x v="67"/>
    <x v="76"/>
    <x v="50"/>
    <x v="8"/>
    <x v="62"/>
    <x v="43"/>
    <x v="39"/>
    <x v="36"/>
    <x v="2"/>
    <x v="1"/>
    <x v="0"/>
    <x v="7"/>
    <x v="18"/>
    <x v="35"/>
    <x v="33"/>
    <x v="1"/>
    <x v="0"/>
    <x v="13"/>
    <x v="106"/>
    <x v="33"/>
    <x v="35"/>
    <x v="1"/>
    <x v="2"/>
    <x v="0"/>
    <x v="24"/>
    <x v="2"/>
    <x v="21"/>
    <x v="24"/>
    <x v="24"/>
    <x v="6"/>
    <x v="0"/>
    <x v="4"/>
    <x v="4"/>
    <x v="17"/>
    <x v="26"/>
    <x v="0"/>
    <x v="0"/>
    <x v="0"/>
    <x v="1"/>
  </r>
  <r>
    <x v="0"/>
    <x v="0"/>
    <x v="1"/>
    <x v="9"/>
    <x v="7"/>
    <x v="2"/>
    <x v="6"/>
    <x v="0"/>
    <x v="58"/>
    <x v="50"/>
    <x v="26"/>
    <x v="40"/>
    <x v="1"/>
    <x v="62"/>
    <x v="67"/>
    <x v="75"/>
    <x v="75"/>
    <x v="1"/>
    <x v="13"/>
    <x v="1"/>
    <x v="110"/>
    <x v="76"/>
    <x v="58"/>
    <x v="8"/>
    <x v="87"/>
    <x v="63"/>
    <x v="57"/>
    <x v="36"/>
    <x v="10"/>
    <x v="1"/>
    <x v="0"/>
    <x v="7"/>
    <x v="18"/>
    <x v="35"/>
    <x v="33"/>
    <x v="1"/>
    <x v="36"/>
    <x v="12"/>
    <x v="110"/>
    <x v="32"/>
    <x v="31"/>
    <x v="1"/>
    <x v="4"/>
    <x v="7"/>
    <x v="27"/>
    <x v="2"/>
    <x v="21"/>
    <x v="25"/>
    <x v="25"/>
    <x v="6"/>
    <x v="0"/>
    <x v="3"/>
    <x v="1"/>
    <x v="101"/>
    <x v="25"/>
    <x v="0"/>
    <x v="0"/>
    <x v="0"/>
    <x v="1"/>
  </r>
  <r>
    <x v="0"/>
    <x v="0"/>
    <x v="1"/>
    <x v="46"/>
    <x v="4"/>
    <x v="2"/>
    <x v="1"/>
    <x v="0"/>
    <x v="59"/>
    <x v="66"/>
    <x v="15"/>
    <x v="38"/>
    <x v="1"/>
    <x v="43"/>
    <x v="45"/>
    <x v="51"/>
    <x v="51"/>
    <x v="1"/>
    <x v="23"/>
    <x v="38"/>
    <x v="52"/>
    <x v="76"/>
    <x v="39"/>
    <x v="8"/>
    <x v="48"/>
    <x v="36"/>
    <x v="34"/>
    <x v="36"/>
    <x v="6"/>
    <x v="1"/>
    <x v="0"/>
    <x v="7"/>
    <x v="18"/>
    <x v="35"/>
    <x v="33"/>
    <x v="1"/>
    <x v="5"/>
    <x v="10"/>
    <x v="68"/>
    <x v="50"/>
    <x v="56"/>
    <x v="1"/>
    <x v="4"/>
    <x v="4"/>
    <x v="5"/>
    <x v="2"/>
    <x v="21"/>
    <x v="21"/>
    <x v="21"/>
    <x v="6"/>
    <x v="0"/>
    <x v="1"/>
    <x v="1"/>
    <x v="43"/>
    <x v="33"/>
    <x v="0"/>
    <x v="0"/>
    <x v="0"/>
    <x v="1"/>
  </r>
  <r>
    <x v="0"/>
    <x v="0"/>
    <x v="1"/>
    <x v="46"/>
    <x v="4"/>
    <x v="2"/>
    <x v="1"/>
    <x v="0"/>
    <x v="60"/>
    <x v="66"/>
    <x v="15"/>
    <x v="38"/>
    <x v="1"/>
    <x v="60"/>
    <x v="65"/>
    <x v="74"/>
    <x v="74"/>
    <x v="3"/>
    <x v="23"/>
    <x v="79"/>
    <x v="110"/>
    <x v="76"/>
    <x v="56"/>
    <x v="8"/>
    <x v="87"/>
    <x v="63"/>
    <x v="57"/>
    <x v="36"/>
    <x v="6"/>
    <x v="1"/>
    <x v="0"/>
    <x v="7"/>
    <x v="18"/>
    <x v="35"/>
    <x v="33"/>
    <x v="1"/>
    <x v="5"/>
    <x v="0"/>
    <x v="80"/>
    <x v="34"/>
    <x v="37"/>
    <x v="1"/>
    <x v="4"/>
    <x v="4"/>
    <x v="5"/>
    <x v="2"/>
    <x v="21"/>
    <x v="24"/>
    <x v="24"/>
    <x v="6"/>
    <x v="0"/>
    <x v="1"/>
    <x v="1"/>
    <x v="62"/>
    <x v="45"/>
    <x v="0"/>
    <x v="0"/>
    <x v="0"/>
    <x v="1"/>
  </r>
  <r>
    <x v="0"/>
    <x v="0"/>
    <x v="1"/>
    <x v="48"/>
    <x v="8"/>
    <x v="2"/>
    <x v="1"/>
    <x v="1"/>
    <x v="61"/>
    <x v="69"/>
    <x v="14"/>
    <x v="42"/>
    <x v="1"/>
    <x v="72"/>
    <x v="77"/>
    <x v="97"/>
    <x v="97"/>
    <x v="3"/>
    <x v="17"/>
    <x v="5"/>
    <x v="81"/>
    <x v="76"/>
    <x v="82"/>
    <x v="8"/>
    <x v="71"/>
    <x v="52"/>
    <x v="48"/>
    <x v="36"/>
    <x v="10"/>
    <x v="1"/>
    <x v="0"/>
    <x v="7"/>
    <x v="18"/>
    <x v="35"/>
    <x v="33"/>
    <x v="1"/>
    <x v="2"/>
    <x v="7"/>
    <x v="68"/>
    <x v="3"/>
    <x v="51"/>
    <x v="1"/>
    <x v="4"/>
    <x v="4"/>
    <x v="5"/>
    <x v="2"/>
    <x v="21"/>
    <x v="31"/>
    <x v="31"/>
    <x v="6"/>
    <x v="0"/>
    <x v="4"/>
    <x v="4"/>
    <x v="13"/>
    <x v="23"/>
    <x v="0"/>
    <x v="0"/>
    <x v="0"/>
    <x v="1"/>
  </r>
  <r>
    <x v="0"/>
    <x v="0"/>
    <x v="1"/>
    <x v="47"/>
    <x v="8"/>
    <x v="2"/>
    <x v="1"/>
    <x v="1"/>
    <x v="62"/>
    <x v="69"/>
    <x v="12"/>
    <x v="42"/>
    <x v="1"/>
    <x v="50"/>
    <x v="53"/>
    <x v="62"/>
    <x v="62"/>
    <x v="1"/>
    <x v="5"/>
    <x v="39"/>
    <x v="29"/>
    <x v="76"/>
    <x v="48"/>
    <x v="8"/>
    <x v="59"/>
    <x v="63"/>
    <x v="57"/>
    <x v="36"/>
    <x v="10"/>
    <x v="1"/>
    <x v="0"/>
    <x v="7"/>
    <x v="18"/>
    <x v="35"/>
    <x v="33"/>
    <x v="1"/>
    <x v="2"/>
    <x v="6"/>
    <x v="42"/>
    <x v="2"/>
    <x v="51"/>
    <x v="1"/>
    <x v="4"/>
    <x v="4"/>
    <x v="5"/>
    <x v="2"/>
    <x v="21"/>
    <x v="23"/>
    <x v="23"/>
    <x v="6"/>
    <x v="0"/>
    <x v="4"/>
    <x v="4"/>
    <x v="34"/>
    <x v="20"/>
    <x v="0"/>
    <x v="0"/>
    <x v="0"/>
    <x v="1"/>
  </r>
  <r>
    <x v="0"/>
    <x v="0"/>
    <x v="1"/>
    <x v="51"/>
    <x v="8"/>
    <x v="2"/>
    <x v="1"/>
    <x v="0"/>
    <x v="63"/>
    <x v="70"/>
    <x v="16"/>
    <x v="41"/>
    <x v="1"/>
    <x v="71"/>
    <x v="76"/>
    <x v="94"/>
    <x v="94"/>
    <x v="3"/>
    <x v="17"/>
    <x v="7"/>
    <x v="64"/>
    <x v="76"/>
    <x v="78"/>
    <x v="8"/>
    <x v="45"/>
    <x v="44"/>
    <x v="41"/>
    <x v="36"/>
    <x v="1"/>
    <x v="1"/>
    <x v="0"/>
    <x v="7"/>
    <x v="18"/>
    <x v="35"/>
    <x v="33"/>
    <x v="1"/>
    <x v="1"/>
    <x v="8"/>
    <x v="42"/>
    <x v="37"/>
    <x v="1"/>
    <x v="1"/>
    <x v="0"/>
    <x v="0"/>
    <x v="23"/>
    <x v="2"/>
    <x v="21"/>
    <x v="31"/>
    <x v="31"/>
    <x v="6"/>
    <x v="0"/>
    <x v="1"/>
    <x v="1"/>
    <x v="28"/>
    <x v="55"/>
    <x v="0"/>
    <x v="0"/>
    <x v="0"/>
    <x v="1"/>
  </r>
  <r>
    <x v="0"/>
    <x v="0"/>
    <x v="1"/>
    <x v="12"/>
    <x v="15"/>
    <x v="2"/>
    <x v="1"/>
    <x v="0"/>
    <x v="64"/>
    <x v="77"/>
    <x v="9"/>
    <x v="36"/>
    <x v="1"/>
    <x v="59"/>
    <x v="64"/>
    <x v="73"/>
    <x v="73"/>
    <x v="3"/>
    <x v="23"/>
    <x v="67"/>
    <x v="33"/>
    <x v="76"/>
    <x v="54"/>
    <x v="8"/>
    <x v="35"/>
    <x v="25"/>
    <x v="25"/>
    <x v="36"/>
    <x v="46"/>
    <x v="1"/>
    <x v="0"/>
    <x v="7"/>
    <x v="18"/>
    <x v="35"/>
    <x v="33"/>
    <x v="1"/>
    <x v="36"/>
    <x v="110"/>
    <x v="68"/>
    <x v="40"/>
    <x v="44"/>
    <x v="1"/>
    <x v="4"/>
    <x v="2"/>
    <x v="18"/>
    <x v="2"/>
    <x v="21"/>
    <x v="24"/>
    <x v="24"/>
    <x v="6"/>
    <x v="0"/>
    <x v="1"/>
    <x v="4"/>
    <x v="31"/>
    <x v="8"/>
    <x v="0"/>
    <x v="0"/>
    <x v="0"/>
    <x v="1"/>
  </r>
  <r>
    <x v="0"/>
    <x v="0"/>
    <x v="0"/>
    <x v="1"/>
    <x v="11"/>
    <x v="2"/>
    <x v="6"/>
    <x v="0"/>
    <x v="65"/>
    <x v="0"/>
    <x v="0"/>
    <x v="59"/>
    <x v="2"/>
    <x v="51"/>
    <x v="54"/>
    <x v="48"/>
    <x v="48"/>
    <x v="3"/>
    <x v="1"/>
    <x v="27"/>
    <x v="73"/>
    <x v="20"/>
    <x v="62"/>
    <x v="8"/>
    <x v="9"/>
    <x v="27"/>
    <x v="19"/>
    <x v="36"/>
    <x v="13"/>
    <x v="2"/>
    <x v="0"/>
    <x v="7"/>
    <x v="18"/>
    <x v="35"/>
    <x v="33"/>
    <x v="1"/>
    <x v="14"/>
    <x v="26"/>
    <x v="42"/>
    <x v="50"/>
    <x v="56"/>
    <x v="1"/>
    <x v="4"/>
    <x v="2"/>
    <x v="18"/>
    <x v="2"/>
    <x v="21"/>
    <x v="23"/>
    <x v="23"/>
    <x v="6"/>
    <x v="0"/>
    <x v="3"/>
    <x v="0"/>
    <x v="110"/>
    <x v="2"/>
    <x v="0"/>
    <x v="0"/>
    <x v="0"/>
    <x v="1"/>
  </r>
  <r>
    <x v="0"/>
    <x v="0"/>
    <x v="0"/>
    <x v="1"/>
    <x v="11"/>
    <x v="2"/>
    <x v="6"/>
    <x v="0"/>
    <x v="66"/>
    <x v="0"/>
    <x v="0"/>
    <x v="59"/>
    <x v="2"/>
    <x v="65"/>
    <x v="70"/>
    <x v="102"/>
    <x v="102"/>
    <x v="3"/>
    <x v="15"/>
    <x v="74"/>
    <x v="73"/>
    <x v="39"/>
    <x v="80"/>
    <x v="8"/>
    <x v="13"/>
    <x v="40"/>
    <x v="34"/>
    <x v="36"/>
    <x v="11"/>
    <x v="2"/>
    <x v="0"/>
    <x v="7"/>
    <x v="18"/>
    <x v="35"/>
    <x v="33"/>
    <x v="1"/>
    <x v="14"/>
    <x v="110"/>
    <x v="19"/>
    <x v="28"/>
    <x v="42"/>
    <x v="1"/>
    <x v="4"/>
    <x v="4"/>
    <x v="5"/>
    <x v="2"/>
    <x v="21"/>
    <x v="26"/>
    <x v="26"/>
    <x v="6"/>
    <x v="0"/>
    <x v="2"/>
    <x v="1"/>
    <x v="59"/>
    <x v="2"/>
    <x v="0"/>
    <x v="0"/>
    <x v="0"/>
    <x v="1"/>
  </r>
  <r>
    <x v="0"/>
    <x v="0"/>
    <x v="1"/>
    <x v="39"/>
    <x v="15"/>
    <x v="2"/>
    <x v="0"/>
    <x v="0"/>
    <x v="67"/>
    <x v="5"/>
    <x v="39"/>
    <x v="46"/>
    <x v="2"/>
    <x v="41"/>
    <x v="42"/>
    <x v="47"/>
    <x v="47"/>
    <x v="3"/>
    <x v="19"/>
    <x v="23"/>
    <x v="46"/>
    <x v="7"/>
    <x v="45"/>
    <x v="8"/>
    <x v="6"/>
    <x v="13"/>
    <x v="10"/>
    <x v="36"/>
    <x v="13"/>
    <x v="2"/>
    <x v="0"/>
    <x v="7"/>
    <x v="18"/>
    <x v="35"/>
    <x v="1"/>
    <x v="1"/>
    <x v="14"/>
    <x v="22"/>
    <x v="41"/>
    <x v="50"/>
    <x v="56"/>
    <x v="1"/>
    <x v="4"/>
    <x v="1"/>
    <x v="17"/>
    <x v="2"/>
    <x v="21"/>
    <x v="21"/>
    <x v="21"/>
    <x v="6"/>
    <x v="0"/>
    <x v="1"/>
    <x v="1"/>
    <x v="7"/>
    <x v="52"/>
    <x v="0"/>
    <x v="0"/>
    <x v="0"/>
    <x v="1"/>
  </r>
  <r>
    <x v="0"/>
    <x v="0"/>
    <x v="1"/>
    <x v="25"/>
    <x v="1"/>
    <x v="2"/>
    <x v="1"/>
    <x v="0"/>
    <x v="68"/>
    <x v="34"/>
    <x v="55"/>
    <x v="48"/>
    <x v="2"/>
    <x v="55"/>
    <x v="58"/>
    <x v="67"/>
    <x v="67"/>
    <x v="3"/>
    <x v="10"/>
    <x v="19"/>
    <x v="12"/>
    <x v="45"/>
    <x v="70"/>
    <x v="8"/>
    <x v="12"/>
    <x v="34"/>
    <x v="24"/>
    <x v="36"/>
    <x v="12"/>
    <x v="2"/>
    <x v="0"/>
    <x v="7"/>
    <x v="18"/>
    <x v="35"/>
    <x v="33"/>
    <x v="1"/>
    <x v="14"/>
    <x v="19"/>
    <x v="52"/>
    <x v="50"/>
    <x v="56"/>
    <x v="1"/>
    <x v="4"/>
    <x v="2"/>
    <x v="18"/>
    <x v="2"/>
    <x v="21"/>
    <x v="24"/>
    <x v="24"/>
    <x v="6"/>
    <x v="0"/>
    <x v="0"/>
    <x v="2"/>
    <x v="72"/>
    <x v="44"/>
    <x v="0"/>
    <x v="0"/>
    <x v="0"/>
    <x v="1"/>
  </r>
  <r>
    <x v="0"/>
    <x v="0"/>
    <x v="1"/>
    <x v="32"/>
    <x v="15"/>
    <x v="2"/>
    <x v="1"/>
    <x v="0"/>
    <x v="69"/>
    <x v="29"/>
    <x v="4"/>
    <x v="45"/>
    <x v="2"/>
    <x v="36"/>
    <x v="37"/>
    <x v="43"/>
    <x v="43"/>
    <x v="3"/>
    <x v="4"/>
    <x v="35"/>
    <x v="17"/>
    <x v="5"/>
    <x v="37"/>
    <x v="8"/>
    <x v="4"/>
    <x v="4"/>
    <x v="4"/>
    <x v="36"/>
    <x v="26"/>
    <x v="2"/>
    <x v="0"/>
    <x v="7"/>
    <x v="18"/>
    <x v="35"/>
    <x v="33"/>
    <x v="1"/>
    <x v="5"/>
    <x v="27"/>
    <x v="39"/>
    <x v="50"/>
    <x v="56"/>
    <x v="1"/>
    <x v="4"/>
    <x v="4"/>
    <x v="5"/>
    <x v="2"/>
    <x v="21"/>
    <x v="20"/>
    <x v="20"/>
    <x v="6"/>
    <x v="0"/>
    <x v="3"/>
    <x v="1"/>
    <x v="107"/>
    <x v="56"/>
    <x v="0"/>
    <x v="0"/>
    <x v="0"/>
    <x v="1"/>
  </r>
  <r>
    <x v="0"/>
    <x v="0"/>
    <x v="1"/>
    <x v="9"/>
    <x v="7"/>
    <x v="2"/>
    <x v="6"/>
    <x v="0"/>
    <x v="70"/>
    <x v="50"/>
    <x v="26"/>
    <x v="52"/>
    <x v="2"/>
    <x v="52"/>
    <x v="55"/>
    <x v="65"/>
    <x v="65"/>
    <x v="3"/>
    <x v="10"/>
    <x v="45"/>
    <x v="40"/>
    <x v="40"/>
    <x v="64"/>
    <x v="8"/>
    <x v="10"/>
    <x v="29"/>
    <x v="21"/>
    <x v="36"/>
    <x v="19"/>
    <x v="2"/>
    <x v="0"/>
    <x v="7"/>
    <x v="18"/>
    <x v="0"/>
    <x v="3"/>
    <x v="1"/>
    <x v="11"/>
    <x v="25"/>
    <x v="15"/>
    <x v="50"/>
    <x v="56"/>
    <x v="1"/>
    <x v="4"/>
    <x v="0"/>
    <x v="15"/>
    <x v="2"/>
    <x v="21"/>
    <x v="23"/>
    <x v="23"/>
    <x v="6"/>
    <x v="0"/>
    <x v="0"/>
    <x v="2"/>
    <x v="118"/>
    <x v="26"/>
    <x v="0"/>
    <x v="0"/>
    <x v="0"/>
    <x v="1"/>
  </r>
  <r>
    <x v="0"/>
    <x v="0"/>
    <x v="1"/>
    <x v="44"/>
    <x v="1"/>
    <x v="2"/>
    <x v="1"/>
    <x v="0"/>
    <x v="71"/>
    <x v="52"/>
    <x v="7"/>
    <x v="49"/>
    <x v="2"/>
    <x v="55"/>
    <x v="58"/>
    <x v="57"/>
    <x v="57"/>
    <x v="3"/>
    <x v="2"/>
    <x v="31"/>
    <x v="7"/>
    <x v="30"/>
    <x v="70"/>
    <x v="8"/>
    <x v="12"/>
    <x v="34"/>
    <x v="24"/>
    <x v="36"/>
    <x v="19"/>
    <x v="2"/>
    <x v="0"/>
    <x v="7"/>
    <x v="18"/>
    <x v="0"/>
    <x v="0"/>
    <x v="1"/>
    <x v="11"/>
    <x v="24"/>
    <x v="45"/>
    <x v="50"/>
    <x v="56"/>
    <x v="1"/>
    <x v="4"/>
    <x v="0"/>
    <x v="15"/>
    <x v="2"/>
    <x v="21"/>
    <x v="24"/>
    <x v="24"/>
    <x v="6"/>
    <x v="0"/>
    <x v="0"/>
    <x v="2"/>
    <x v="80"/>
    <x v="44"/>
    <x v="0"/>
    <x v="0"/>
    <x v="0"/>
    <x v="1"/>
  </r>
  <r>
    <x v="0"/>
    <x v="0"/>
    <x v="1"/>
    <x v="38"/>
    <x v="1"/>
    <x v="2"/>
    <x v="1"/>
    <x v="0"/>
    <x v="72"/>
    <x v="57"/>
    <x v="38"/>
    <x v="51"/>
    <x v="2"/>
    <x v="53"/>
    <x v="56"/>
    <x v="60"/>
    <x v="60"/>
    <x v="3"/>
    <x v="4"/>
    <x v="35"/>
    <x v="43"/>
    <x v="27"/>
    <x v="66"/>
    <x v="8"/>
    <x v="11"/>
    <x v="31"/>
    <x v="23"/>
    <x v="36"/>
    <x v="13"/>
    <x v="2"/>
    <x v="0"/>
    <x v="7"/>
    <x v="18"/>
    <x v="0"/>
    <x v="0"/>
    <x v="1"/>
    <x v="10"/>
    <x v="110"/>
    <x v="67"/>
    <x v="50"/>
    <x v="56"/>
    <x v="1"/>
    <x v="4"/>
    <x v="4"/>
    <x v="6"/>
    <x v="2"/>
    <x v="21"/>
    <x v="23"/>
    <x v="23"/>
    <x v="6"/>
    <x v="0"/>
    <x v="2"/>
    <x v="4"/>
    <x v="73"/>
    <x v="44"/>
    <x v="0"/>
    <x v="0"/>
    <x v="0"/>
    <x v="1"/>
  </r>
  <r>
    <x v="0"/>
    <x v="0"/>
    <x v="1"/>
    <x v="38"/>
    <x v="1"/>
    <x v="2"/>
    <x v="1"/>
    <x v="0"/>
    <x v="73"/>
    <x v="57"/>
    <x v="38"/>
    <x v="51"/>
    <x v="2"/>
    <x v="40"/>
    <x v="41"/>
    <x v="41"/>
    <x v="41"/>
    <x v="3"/>
    <x v="1"/>
    <x v="89"/>
    <x v="51"/>
    <x v="8"/>
    <x v="43"/>
    <x v="8"/>
    <x v="5"/>
    <x v="8"/>
    <x v="9"/>
    <x v="36"/>
    <x v="3"/>
    <x v="2"/>
    <x v="0"/>
    <x v="7"/>
    <x v="18"/>
    <x v="0"/>
    <x v="8"/>
    <x v="1"/>
    <x v="5"/>
    <x v="21"/>
    <x v="22"/>
    <x v="50"/>
    <x v="56"/>
    <x v="1"/>
    <x v="4"/>
    <x v="4"/>
    <x v="6"/>
    <x v="2"/>
    <x v="21"/>
    <x v="21"/>
    <x v="21"/>
    <x v="6"/>
    <x v="0"/>
    <x v="0"/>
    <x v="0"/>
    <x v="108"/>
    <x v="44"/>
    <x v="0"/>
    <x v="0"/>
    <x v="0"/>
    <x v="1"/>
  </r>
  <r>
    <x v="0"/>
    <x v="0"/>
    <x v="1"/>
    <x v="34"/>
    <x v="13"/>
    <x v="2"/>
    <x v="1"/>
    <x v="0"/>
    <x v="74"/>
    <x v="60"/>
    <x v="53"/>
    <x v="44"/>
    <x v="2"/>
    <x v="20"/>
    <x v="20"/>
    <x v="19"/>
    <x v="19"/>
    <x v="3"/>
    <x v="1"/>
    <x v="21"/>
    <x v="1"/>
    <x v="1"/>
    <x v="23"/>
    <x v="8"/>
    <x v="1"/>
    <x v="1"/>
    <x v="1"/>
    <x v="36"/>
    <x v="27"/>
    <x v="2"/>
    <x v="0"/>
    <x v="7"/>
    <x v="18"/>
    <x v="35"/>
    <x v="33"/>
    <x v="1"/>
    <x v="5"/>
    <x v="20"/>
    <x v="23"/>
    <x v="50"/>
    <x v="56"/>
    <x v="1"/>
    <x v="4"/>
    <x v="4"/>
    <x v="6"/>
    <x v="2"/>
    <x v="21"/>
    <x v="19"/>
    <x v="19"/>
    <x v="6"/>
    <x v="0"/>
    <x v="3"/>
    <x v="1"/>
    <x v="103"/>
    <x v="48"/>
    <x v="0"/>
    <x v="0"/>
    <x v="0"/>
    <x v="1"/>
  </r>
  <r>
    <x v="0"/>
    <x v="0"/>
    <x v="1"/>
    <x v="34"/>
    <x v="13"/>
    <x v="2"/>
    <x v="1"/>
    <x v="0"/>
    <x v="75"/>
    <x v="60"/>
    <x v="53"/>
    <x v="44"/>
    <x v="2"/>
    <x v="20"/>
    <x v="20"/>
    <x v="19"/>
    <x v="19"/>
    <x v="3"/>
    <x v="1"/>
    <x v="89"/>
    <x v="4"/>
    <x v="1"/>
    <x v="23"/>
    <x v="8"/>
    <x v="1"/>
    <x v="1"/>
    <x v="1"/>
    <x v="0"/>
    <x v="12"/>
    <x v="2"/>
    <x v="0"/>
    <x v="7"/>
    <x v="18"/>
    <x v="35"/>
    <x v="33"/>
    <x v="1"/>
    <x v="14"/>
    <x v="31"/>
    <x v="32"/>
    <x v="50"/>
    <x v="56"/>
    <x v="1"/>
    <x v="4"/>
    <x v="2"/>
    <x v="18"/>
    <x v="2"/>
    <x v="21"/>
    <x v="19"/>
    <x v="19"/>
    <x v="6"/>
    <x v="0"/>
    <x v="4"/>
    <x v="4"/>
    <x v="39"/>
    <x v="48"/>
    <x v="0"/>
    <x v="0"/>
    <x v="0"/>
    <x v="1"/>
  </r>
  <r>
    <x v="0"/>
    <x v="0"/>
    <x v="1"/>
    <x v="34"/>
    <x v="13"/>
    <x v="2"/>
    <x v="1"/>
    <x v="0"/>
    <x v="76"/>
    <x v="60"/>
    <x v="53"/>
    <x v="44"/>
    <x v="2"/>
    <x v="31"/>
    <x v="32"/>
    <x v="27"/>
    <x v="27"/>
    <x v="3"/>
    <x v="1"/>
    <x v="21"/>
    <x v="2"/>
    <x v="2"/>
    <x v="34"/>
    <x v="8"/>
    <x v="2"/>
    <x v="2"/>
    <x v="2"/>
    <x v="36"/>
    <x v="25"/>
    <x v="2"/>
    <x v="0"/>
    <x v="7"/>
    <x v="18"/>
    <x v="35"/>
    <x v="33"/>
    <x v="1"/>
    <x v="14"/>
    <x v="31"/>
    <x v="42"/>
    <x v="50"/>
    <x v="56"/>
    <x v="1"/>
    <x v="4"/>
    <x v="2"/>
    <x v="18"/>
    <x v="2"/>
    <x v="21"/>
    <x v="19"/>
    <x v="19"/>
    <x v="6"/>
    <x v="0"/>
    <x v="0"/>
    <x v="4"/>
    <x v="63"/>
    <x v="48"/>
    <x v="0"/>
    <x v="0"/>
    <x v="0"/>
    <x v="1"/>
  </r>
  <r>
    <x v="0"/>
    <x v="0"/>
    <x v="1"/>
    <x v="34"/>
    <x v="13"/>
    <x v="2"/>
    <x v="1"/>
    <x v="0"/>
    <x v="77"/>
    <x v="60"/>
    <x v="53"/>
    <x v="44"/>
    <x v="2"/>
    <x v="16"/>
    <x v="16"/>
    <x v="13"/>
    <x v="13"/>
    <x v="3"/>
    <x v="1"/>
    <x v="89"/>
    <x v="3"/>
    <x v="0"/>
    <x v="18"/>
    <x v="8"/>
    <x v="0"/>
    <x v="0"/>
    <x v="0"/>
    <x v="36"/>
    <x v="12"/>
    <x v="2"/>
    <x v="0"/>
    <x v="7"/>
    <x v="18"/>
    <x v="35"/>
    <x v="33"/>
    <x v="1"/>
    <x v="14"/>
    <x v="31"/>
    <x v="46"/>
    <x v="50"/>
    <x v="56"/>
    <x v="1"/>
    <x v="4"/>
    <x v="2"/>
    <x v="18"/>
    <x v="2"/>
    <x v="21"/>
    <x v="19"/>
    <x v="19"/>
    <x v="6"/>
    <x v="0"/>
    <x v="3"/>
    <x v="4"/>
    <x v="70"/>
    <x v="48"/>
    <x v="0"/>
    <x v="0"/>
    <x v="0"/>
    <x v="1"/>
  </r>
  <r>
    <x v="0"/>
    <x v="0"/>
    <x v="0"/>
    <x v="26"/>
    <x v="11"/>
    <x v="2"/>
    <x v="4"/>
    <x v="0"/>
    <x v="78"/>
    <x v="35"/>
    <x v="20"/>
    <x v="53"/>
    <x v="2"/>
    <x v="65"/>
    <x v="70"/>
    <x v="101"/>
    <x v="101"/>
    <x v="3"/>
    <x v="15"/>
    <x v="73"/>
    <x v="70"/>
    <x v="39"/>
    <x v="80"/>
    <x v="8"/>
    <x v="13"/>
    <x v="40"/>
    <x v="34"/>
    <x v="36"/>
    <x v="12"/>
    <x v="2"/>
    <x v="0"/>
    <x v="7"/>
    <x v="18"/>
    <x v="35"/>
    <x v="33"/>
    <x v="1"/>
    <x v="14"/>
    <x v="31"/>
    <x v="123"/>
    <x v="50"/>
    <x v="56"/>
    <x v="1"/>
    <x v="4"/>
    <x v="2"/>
    <x v="18"/>
    <x v="2"/>
    <x v="21"/>
    <x v="26"/>
    <x v="26"/>
    <x v="6"/>
    <x v="0"/>
    <x v="1"/>
    <x v="1"/>
    <x v="43"/>
    <x v="29"/>
    <x v="0"/>
    <x v="0"/>
    <x v="0"/>
    <x v="1"/>
  </r>
  <r>
    <x v="0"/>
    <x v="0"/>
    <x v="1"/>
    <x v="54"/>
    <x v="7"/>
    <x v="2"/>
    <x v="6"/>
    <x v="0"/>
    <x v="79"/>
    <x v="2"/>
    <x v="3"/>
    <x v="56"/>
    <x v="2"/>
    <x v="68"/>
    <x v="73"/>
    <x v="107"/>
    <x v="107"/>
    <x v="3"/>
    <x v="15"/>
    <x v="73"/>
    <x v="19"/>
    <x v="50"/>
    <x v="89"/>
    <x v="8"/>
    <x v="16"/>
    <x v="49"/>
    <x v="37"/>
    <x v="36"/>
    <x v="13"/>
    <x v="2"/>
    <x v="0"/>
    <x v="7"/>
    <x v="18"/>
    <x v="35"/>
    <x v="33"/>
    <x v="1"/>
    <x v="5"/>
    <x v="30"/>
    <x v="88"/>
    <x v="9"/>
    <x v="48"/>
    <x v="1"/>
    <x v="4"/>
    <x v="4"/>
    <x v="5"/>
    <x v="2"/>
    <x v="21"/>
    <x v="29"/>
    <x v="29"/>
    <x v="6"/>
    <x v="0"/>
    <x v="2"/>
    <x v="1"/>
    <x v="40"/>
    <x v="32"/>
    <x v="0"/>
    <x v="0"/>
    <x v="0"/>
    <x v="1"/>
  </r>
  <r>
    <x v="0"/>
    <x v="0"/>
    <x v="1"/>
    <x v="21"/>
    <x v="7"/>
    <x v="2"/>
    <x v="6"/>
    <x v="0"/>
    <x v="80"/>
    <x v="50"/>
    <x v="26"/>
    <x v="52"/>
    <x v="2"/>
    <x v="41"/>
    <x v="42"/>
    <x v="47"/>
    <x v="47"/>
    <x v="3"/>
    <x v="24"/>
    <x v="72"/>
    <x v="74"/>
    <x v="76"/>
    <x v="45"/>
    <x v="8"/>
    <x v="6"/>
    <x v="13"/>
    <x v="10"/>
    <x v="36"/>
    <x v="13"/>
    <x v="2"/>
    <x v="0"/>
    <x v="7"/>
    <x v="18"/>
    <x v="35"/>
    <x v="33"/>
    <x v="1"/>
    <x v="3"/>
    <x v="19"/>
    <x v="20"/>
    <x v="46"/>
    <x v="21"/>
    <x v="1"/>
    <x v="4"/>
    <x v="2"/>
    <x v="18"/>
    <x v="2"/>
    <x v="21"/>
    <x v="21"/>
    <x v="21"/>
    <x v="6"/>
    <x v="0"/>
    <x v="1"/>
    <x v="1"/>
    <x v="46"/>
    <x v="26"/>
    <x v="0"/>
    <x v="0"/>
    <x v="0"/>
    <x v="1"/>
  </r>
  <r>
    <x v="0"/>
    <x v="0"/>
    <x v="1"/>
    <x v="46"/>
    <x v="3"/>
    <x v="2"/>
    <x v="1"/>
    <x v="1"/>
    <x v="81"/>
    <x v="66"/>
    <x v="15"/>
    <x v="50"/>
    <x v="2"/>
    <x v="55"/>
    <x v="58"/>
    <x v="67"/>
    <x v="67"/>
    <x v="3"/>
    <x v="23"/>
    <x v="79"/>
    <x v="21"/>
    <x v="26"/>
    <x v="70"/>
    <x v="8"/>
    <x v="12"/>
    <x v="34"/>
    <x v="24"/>
    <x v="36"/>
    <x v="20"/>
    <x v="2"/>
    <x v="0"/>
    <x v="7"/>
    <x v="18"/>
    <x v="0"/>
    <x v="2"/>
    <x v="1"/>
    <x v="14"/>
    <x v="110"/>
    <x v="17"/>
    <x v="39"/>
    <x v="19"/>
    <x v="1"/>
    <x v="4"/>
    <x v="4"/>
    <x v="5"/>
    <x v="2"/>
    <x v="21"/>
    <x v="24"/>
    <x v="24"/>
    <x v="6"/>
    <x v="0"/>
    <x v="2"/>
    <x v="1"/>
    <x v="88"/>
    <x v="46"/>
    <x v="0"/>
    <x v="0"/>
    <x v="0"/>
    <x v="1"/>
  </r>
  <r>
    <x v="0"/>
    <x v="0"/>
    <x v="1"/>
    <x v="47"/>
    <x v="8"/>
    <x v="2"/>
    <x v="1"/>
    <x v="0"/>
    <x v="82"/>
    <x v="69"/>
    <x v="12"/>
    <x v="55"/>
    <x v="2"/>
    <x v="67"/>
    <x v="72"/>
    <x v="80"/>
    <x v="80"/>
    <x v="3"/>
    <x v="4"/>
    <x v="35"/>
    <x v="23"/>
    <x v="52"/>
    <x v="86"/>
    <x v="8"/>
    <x v="15"/>
    <x v="45"/>
    <x v="35"/>
    <x v="36"/>
    <x v="13"/>
    <x v="2"/>
    <x v="0"/>
    <x v="7"/>
    <x v="18"/>
    <x v="0"/>
    <x v="10"/>
    <x v="1"/>
    <x v="14"/>
    <x v="110"/>
    <x v="90"/>
    <x v="50"/>
    <x v="56"/>
    <x v="1"/>
    <x v="4"/>
    <x v="2"/>
    <x v="18"/>
    <x v="2"/>
    <x v="21"/>
    <x v="28"/>
    <x v="28"/>
    <x v="6"/>
    <x v="0"/>
    <x v="4"/>
    <x v="4"/>
    <x v="16"/>
    <x v="22"/>
    <x v="0"/>
    <x v="0"/>
    <x v="0"/>
    <x v="1"/>
  </r>
  <r>
    <x v="0"/>
    <x v="0"/>
    <x v="1"/>
    <x v="48"/>
    <x v="8"/>
    <x v="2"/>
    <x v="1"/>
    <x v="2"/>
    <x v="83"/>
    <x v="69"/>
    <x v="12"/>
    <x v="43"/>
    <x v="2"/>
    <x v="34"/>
    <x v="35"/>
    <x v="35"/>
    <x v="35"/>
    <x v="3"/>
    <x v="1"/>
    <x v="21"/>
    <x v="90"/>
    <x v="3"/>
    <x v="35"/>
    <x v="8"/>
    <x v="3"/>
    <x v="3"/>
    <x v="3"/>
    <x v="36"/>
    <x v="13"/>
    <x v="2"/>
    <x v="0"/>
    <x v="7"/>
    <x v="18"/>
    <x v="35"/>
    <x v="33"/>
    <x v="1"/>
    <x v="14"/>
    <x v="110"/>
    <x v="91"/>
    <x v="50"/>
    <x v="56"/>
    <x v="1"/>
    <x v="4"/>
    <x v="2"/>
    <x v="18"/>
    <x v="2"/>
    <x v="21"/>
    <x v="19"/>
    <x v="19"/>
    <x v="6"/>
    <x v="0"/>
    <x v="1"/>
    <x v="4"/>
    <x v="100"/>
    <x v="20"/>
    <x v="0"/>
    <x v="0"/>
    <x v="0"/>
    <x v="1"/>
  </r>
  <r>
    <x v="0"/>
    <x v="0"/>
    <x v="1"/>
    <x v="48"/>
    <x v="8"/>
    <x v="2"/>
    <x v="1"/>
    <x v="2"/>
    <x v="84"/>
    <x v="69"/>
    <x v="12"/>
    <x v="57"/>
    <x v="2"/>
    <x v="68"/>
    <x v="73"/>
    <x v="90"/>
    <x v="90"/>
    <x v="3"/>
    <x v="23"/>
    <x v="79"/>
    <x v="20"/>
    <x v="26"/>
    <x v="89"/>
    <x v="8"/>
    <x v="16"/>
    <x v="49"/>
    <x v="37"/>
    <x v="36"/>
    <x v="13"/>
    <x v="2"/>
    <x v="0"/>
    <x v="7"/>
    <x v="18"/>
    <x v="35"/>
    <x v="33"/>
    <x v="1"/>
    <x v="2"/>
    <x v="110"/>
    <x v="105"/>
    <x v="41"/>
    <x v="24"/>
    <x v="1"/>
    <x v="4"/>
    <x v="4"/>
    <x v="5"/>
    <x v="2"/>
    <x v="21"/>
    <x v="29"/>
    <x v="29"/>
    <x v="6"/>
    <x v="0"/>
    <x v="4"/>
    <x v="4"/>
    <x v="4"/>
    <x v="23"/>
    <x v="0"/>
    <x v="0"/>
    <x v="0"/>
    <x v="1"/>
  </r>
  <r>
    <x v="0"/>
    <x v="0"/>
    <x v="1"/>
    <x v="48"/>
    <x v="8"/>
    <x v="2"/>
    <x v="1"/>
    <x v="2"/>
    <x v="85"/>
    <x v="69"/>
    <x v="12"/>
    <x v="47"/>
    <x v="2"/>
    <x v="44"/>
    <x v="46"/>
    <x v="52"/>
    <x v="52"/>
    <x v="3"/>
    <x v="10"/>
    <x v="45"/>
    <x v="6"/>
    <x v="19"/>
    <x v="48"/>
    <x v="8"/>
    <x v="7"/>
    <x v="17"/>
    <x v="12"/>
    <x v="36"/>
    <x v="13"/>
    <x v="2"/>
    <x v="0"/>
    <x v="7"/>
    <x v="18"/>
    <x v="35"/>
    <x v="33"/>
    <x v="1"/>
    <x v="14"/>
    <x v="110"/>
    <x v="96"/>
    <x v="13"/>
    <x v="16"/>
    <x v="1"/>
    <x v="4"/>
    <x v="4"/>
    <x v="5"/>
    <x v="2"/>
    <x v="21"/>
    <x v="21"/>
    <x v="21"/>
    <x v="6"/>
    <x v="0"/>
    <x v="3"/>
    <x v="1"/>
    <x v="41"/>
    <x v="20"/>
    <x v="0"/>
    <x v="0"/>
    <x v="0"/>
    <x v="1"/>
  </r>
  <r>
    <x v="0"/>
    <x v="0"/>
    <x v="1"/>
    <x v="20"/>
    <x v="8"/>
    <x v="2"/>
    <x v="1"/>
    <x v="0"/>
    <x v="86"/>
    <x v="75"/>
    <x v="21"/>
    <x v="61"/>
    <x v="2"/>
    <x v="55"/>
    <x v="58"/>
    <x v="67"/>
    <x v="67"/>
    <x v="3"/>
    <x v="10"/>
    <x v="45"/>
    <x v="76"/>
    <x v="45"/>
    <x v="70"/>
    <x v="8"/>
    <x v="12"/>
    <x v="34"/>
    <x v="24"/>
    <x v="36"/>
    <x v="13"/>
    <x v="2"/>
    <x v="0"/>
    <x v="7"/>
    <x v="18"/>
    <x v="0"/>
    <x v="24"/>
    <x v="1"/>
    <x v="14"/>
    <x v="29"/>
    <x v="37"/>
    <x v="50"/>
    <x v="56"/>
    <x v="1"/>
    <x v="4"/>
    <x v="0"/>
    <x v="26"/>
    <x v="2"/>
    <x v="21"/>
    <x v="24"/>
    <x v="24"/>
    <x v="6"/>
    <x v="0"/>
    <x v="2"/>
    <x v="4"/>
    <x v="33"/>
    <x v="39"/>
    <x v="0"/>
    <x v="0"/>
    <x v="0"/>
    <x v="1"/>
  </r>
  <r>
    <x v="0"/>
    <x v="0"/>
    <x v="1"/>
    <x v="20"/>
    <x v="8"/>
    <x v="2"/>
    <x v="1"/>
    <x v="0"/>
    <x v="87"/>
    <x v="75"/>
    <x v="21"/>
    <x v="61"/>
    <x v="2"/>
    <x v="80"/>
    <x v="85"/>
    <x v="117"/>
    <x v="117"/>
    <x v="3"/>
    <x v="15"/>
    <x v="73"/>
    <x v="105"/>
    <x v="68"/>
    <x v="98"/>
    <x v="8"/>
    <x v="23"/>
    <x v="59"/>
    <x v="52"/>
    <x v="36"/>
    <x v="13"/>
    <x v="2"/>
    <x v="0"/>
    <x v="7"/>
    <x v="18"/>
    <x v="0"/>
    <x v="0"/>
    <x v="1"/>
    <x v="14"/>
    <x v="110"/>
    <x v="30"/>
    <x v="50"/>
    <x v="56"/>
    <x v="1"/>
    <x v="4"/>
    <x v="0"/>
    <x v="26"/>
    <x v="2"/>
    <x v="21"/>
    <x v="36"/>
    <x v="36"/>
    <x v="6"/>
    <x v="0"/>
    <x v="2"/>
    <x v="4"/>
    <x v="21"/>
    <x v="42"/>
    <x v="0"/>
    <x v="0"/>
    <x v="0"/>
    <x v="1"/>
  </r>
  <r>
    <x v="0"/>
    <x v="0"/>
    <x v="1"/>
    <x v="51"/>
    <x v="8"/>
    <x v="2"/>
    <x v="1"/>
    <x v="0"/>
    <x v="88"/>
    <x v="22"/>
    <x v="16"/>
    <x v="60"/>
    <x v="2"/>
    <x v="76"/>
    <x v="81"/>
    <x v="114"/>
    <x v="114"/>
    <x v="3"/>
    <x v="15"/>
    <x v="73"/>
    <x v="96"/>
    <x v="63"/>
    <x v="96"/>
    <x v="8"/>
    <x v="20"/>
    <x v="57"/>
    <x v="47"/>
    <x v="36"/>
    <x v="21"/>
    <x v="2"/>
    <x v="0"/>
    <x v="7"/>
    <x v="18"/>
    <x v="0"/>
    <x v="9"/>
    <x v="1"/>
    <x v="12"/>
    <x v="110"/>
    <x v="25"/>
    <x v="50"/>
    <x v="56"/>
    <x v="1"/>
    <x v="4"/>
    <x v="0"/>
    <x v="14"/>
    <x v="2"/>
    <x v="21"/>
    <x v="33"/>
    <x v="33"/>
    <x v="6"/>
    <x v="0"/>
    <x v="0"/>
    <x v="2"/>
    <x v="89"/>
    <x v="13"/>
    <x v="0"/>
    <x v="0"/>
    <x v="0"/>
    <x v="1"/>
  </r>
  <r>
    <x v="0"/>
    <x v="0"/>
    <x v="1"/>
    <x v="20"/>
    <x v="8"/>
    <x v="2"/>
    <x v="1"/>
    <x v="0"/>
    <x v="89"/>
    <x v="75"/>
    <x v="21"/>
    <x v="61"/>
    <x v="2"/>
    <x v="50"/>
    <x v="53"/>
    <x v="84"/>
    <x v="84"/>
    <x v="3"/>
    <x v="15"/>
    <x v="60"/>
    <x v="38"/>
    <x v="18"/>
    <x v="60"/>
    <x v="8"/>
    <x v="8"/>
    <x v="26"/>
    <x v="18"/>
    <x v="36"/>
    <x v="13"/>
    <x v="2"/>
    <x v="0"/>
    <x v="7"/>
    <x v="18"/>
    <x v="35"/>
    <x v="33"/>
    <x v="1"/>
    <x v="14"/>
    <x v="28"/>
    <x v="21"/>
    <x v="50"/>
    <x v="56"/>
    <x v="1"/>
    <x v="4"/>
    <x v="0"/>
    <x v="26"/>
    <x v="2"/>
    <x v="21"/>
    <x v="23"/>
    <x v="23"/>
    <x v="6"/>
    <x v="0"/>
    <x v="2"/>
    <x v="4"/>
    <x v="26"/>
    <x v="39"/>
    <x v="0"/>
    <x v="0"/>
    <x v="0"/>
    <x v="1"/>
  </r>
  <r>
    <x v="0"/>
    <x v="0"/>
    <x v="1"/>
    <x v="10"/>
    <x v="9"/>
    <x v="2"/>
    <x v="1"/>
    <x v="0"/>
    <x v="90"/>
    <x v="74"/>
    <x v="49"/>
    <x v="58"/>
    <x v="2"/>
    <x v="70"/>
    <x v="75"/>
    <x v="108"/>
    <x v="108"/>
    <x v="3"/>
    <x v="15"/>
    <x v="73"/>
    <x v="69"/>
    <x v="55"/>
    <x v="91"/>
    <x v="8"/>
    <x v="17"/>
    <x v="50"/>
    <x v="40"/>
    <x v="36"/>
    <x v="13"/>
    <x v="2"/>
    <x v="0"/>
    <x v="7"/>
    <x v="18"/>
    <x v="35"/>
    <x v="33"/>
    <x v="1"/>
    <x v="5"/>
    <x v="23"/>
    <x v="122"/>
    <x v="0"/>
    <x v="5"/>
    <x v="0"/>
    <x v="4"/>
    <x v="0"/>
    <x v="11"/>
    <x v="2"/>
    <x v="21"/>
    <x v="30"/>
    <x v="30"/>
    <x v="6"/>
    <x v="0"/>
    <x v="0"/>
    <x v="2"/>
    <x v="111"/>
    <x v="6"/>
    <x v="0"/>
    <x v="0"/>
    <x v="0"/>
    <x v="1"/>
  </r>
  <r>
    <x v="0"/>
    <x v="0"/>
    <x v="1"/>
    <x v="11"/>
    <x v="3"/>
    <x v="2"/>
    <x v="1"/>
    <x v="0"/>
    <x v="91"/>
    <x v="76"/>
    <x v="30"/>
    <x v="54"/>
    <x v="2"/>
    <x v="36"/>
    <x v="37"/>
    <x v="39"/>
    <x v="39"/>
    <x v="3"/>
    <x v="1"/>
    <x v="21"/>
    <x v="56"/>
    <x v="4"/>
    <x v="37"/>
    <x v="8"/>
    <x v="50"/>
    <x v="4"/>
    <x v="4"/>
    <x v="36"/>
    <x v="13"/>
    <x v="2"/>
    <x v="0"/>
    <x v="7"/>
    <x v="18"/>
    <x v="35"/>
    <x v="33"/>
    <x v="1"/>
    <x v="5"/>
    <x v="94"/>
    <x v="71"/>
    <x v="50"/>
    <x v="56"/>
    <x v="1"/>
    <x v="3"/>
    <x v="0"/>
    <x v="22"/>
    <x v="2"/>
    <x v="21"/>
    <x v="20"/>
    <x v="20"/>
    <x v="6"/>
    <x v="0"/>
    <x v="0"/>
    <x v="1"/>
    <x v="93"/>
    <x v="47"/>
    <x v="0"/>
    <x v="0"/>
    <x v="0"/>
    <x v="1"/>
  </r>
  <r>
    <x v="0"/>
    <x v="0"/>
    <x v="1"/>
    <x v="11"/>
    <x v="3"/>
    <x v="2"/>
    <x v="1"/>
    <x v="1"/>
    <x v="92"/>
    <x v="76"/>
    <x v="30"/>
    <x v="54"/>
    <x v="2"/>
    <x v="44"/>
    <x v="46"/>
    <x v="67"/>
    <x v="67"/>
    <x v="3"/>
    <x v="15"/>
    <x v="73"/>
    <x v="56"/>
    <x v="11"/>
    <x v="48"/>
    <x v="8"/>
    <x v="50"/>
    <x v="17"/>
    <x v="12"/>
    <x v="36"/>
    <x v="26"/>
    <x v="2"/>
    <x v="0"/>
    <x v="7"/>
    <x v="18"/>
    <x v="35"/>
    <x v="33"/>
    <x v="1"/>
    <x v="5"/>
    <x v="95"/>
    <x v="18"/>
    <x v="18"/>
    <x v="47"/>
    <x v="1"/>
    <x v="4"/>
    <x v="2"/>
    <x v="18"/>
    <x v="2"/>
    <x v="21"/>
    <x v="21"/>
    <x v="21"/>
    <x v="6"/>
    <x v="0"/>
    <x v="1"/>
    <x v="1"/>
    <x v="44"/>
    <x v="41"/>
    <x v="0"/>
    <x v="0"/>
    <x v="0"/>
    <x v="1"/>
  </r>
  <r>
    <x v="0"/>
    <x v="0"/>
    <x v="1"/>
    <x v="11"/>
    <x v="3"/>
    <x v="2"/>
    <x v="1"/>
    <x v="1"/>
    <x v="93"/>
    <x v="76"/>
    <x v="30"/>
    <x v="54"/>
    <x v="2"/>
    <x v="55"/>
    <x v="58"/>
    <x v="67"/>
    <x v="67"/>
    <x v="3"/>
    <x v="23"/>
    <x v="79"/>
    <x v="56"/>
    <x v="26"/>
    <x v="70"/>
    <x v="8"/>
    <x v="50"/>
    <x v="34"/>
    <x v="24"/>
    <x v="36"/>
    <x v="31"/>
    <x v="2"/>
    <x v="0"/>
    <x v="7"/>
    <x v="18"/>
    <x v="35"/>
    <x v="33"/>
    <x v="1"/>
    <x v="5"/>
    <x v="96"/>
    <x v="43"/>
    <x v="43"/>
    <x v="22"/>
    <x v="1"/>
    <x v="4"/>
    <x v="4"/>
    <x v="5"/>
    <x v="2"/>
    <x v="21"/>
    <x v="24"/>
    <x v="24"/>
    <x v="6"/>
    <x v="0"/>
    <x v="1"/>
    <x v="1"/>
    <x v="78"/>
    <x v="46"/>
    <x v="0"/>
    <x v="0"/>
    <x v="0"/>
    <x v="1"/>
  </r>
  <r>
    <x v="0"/>
    <x v="0"/>
    <x v="1"/>
    <x v="50"/>
    <x v="7"/>
    <x v="2"/>
    <x v="6"/>
    <x v="2"/>
    <x v="94"/>
    <x v="15"/>
    <x v="35"/>
    <x v="68"/>
    <x v="3"/>
    <x v="68"/>
    <x v="73"/>
    <x v="107"/>
    <x v="107"/>
    <x v="3"/>
    <x v="15"/>
    <x v="59"/>
    <x v="77"/>
    <x v="51"/>
    <x v="80"/>
    <x v="8"/>
    <x v="39"/>
    <x v="40"/>
    <x v="37"/>
    <x v="36"/>
    <x v="20"/>
    <x v="3"/>
    <x v="0"/>
    <x v="7"/>
    <x v="18"/>
    <x v="35"/>
    <x v="25"/>
    <x v="1"/>
    <x v="36"/>
    <x v="32"/>
    <x v="73"/>
    <x v="48"/>
    <x v="52"/>
    <x v="1"/>
    <x v="4"/>
    <x v="2"/>
    <x v="18"/>
    <x v="2"/>
    <x v="21"/>
    <x v="29"/>
    <x v="29"/>
    <x v="6"/>
    <x v="0"/>
    <x v="2"/>
    <x v="4"/>
    <x v="45"/>
    <x v="33"/>
    <x v="0"/>
    <x v="0"/>
    <x v="0"/>
    <x v="1"/>
  </r>
  <r>
    <x v="0"/>
    <x v="0"/>
    <x v="1"/>
    <x v="20"/>
    <x v="8"/>
    <x v="2"/>
    <x v="1"/>
    <x v="1"/>
    <x v="95"/>
    <x v="27"/>
    <x v="27"/>
    <x v="66"/>
    <x v="3"/>
    <x v="63"/>
    <x v="68"/>
    <x v="83"/>
    <x v="83"/>
    <x v="3"/>
    <x v="4"/>
    <x v="35"/>
    <x v="83"/>
    <x v="10"/>
    <x v="65"/>
    <x v="8"/>
    <x v="28"/>
    <x v="30"/>
    <x v="29"/>
    <x v="30"/>
    <x v="5"/>
    <x v="3"/>
    <x v="0"/>
    <x v="7"/>
    <x v="2"/>
    <x v="22"/>
    <x v="12"/>
    <x v="1"/>
    <x v="4"/>
    <x v="110"/>
    <x v="51"/>
    <x v="50"/>
    <x v="56"/>
    <x v="1"/>
    <x v="4"/>
    <x v="0"/>
    <x v="25"/>
    <x v="2"/>
    <x v="21"/>
    <x v="25"/>
    <x v="25"/>
    <x v="6"/>
    <x v="0"/>
    <x v="2"/>
    <x v="1"/>
    <x v="30"/>
    <x v="38"/>
    <x v="0"/>
    <x v="0"/>
    <x v="0"/>
    <x v="1"/>
  </r>
  <r>
    <x v="0"/>
    <x v="0"/>
    <x v="1"/>
    <x v="20"/>
    <x v="8"/>
    <x v="2"/>
    <x v="1"/>
    <x v="0"/>
    <x v="96"/>
    <x v="31"/>
    <x v="11"/>
    <x v="75"/>
    <x v="3"/>
    <x v="78"/>
    <x v="83"/>
    <x v="115"/>
    <x v="115"/>
    <x v="3"/>
    <x v="15"/>
    <x v="15"/>
    <x v="100"/>
    <x v="66"/>
    <x v="93"/>
    <x v="8"/>
    <x v="68"/>
    <x v="54"/>
    <x v="50"/>
    <x v="36"/>
    <x v="9"/>
    <x v="3"/>
    <x v="0"/>
    <x v="7"/>
    <x v="18"/>
    <x v="29"/>
    <x v="19"/>
    <x v="1"/>
    <x v="8"/>
    <x v="110"/>
    <x v="63"/>
    <x v="8"/>
    <x v="53"/>
    <x v="1"/>
    <x v="4"/>
    <x v="2"/>
    <x v="2"/>
    <x v="2"/>
    <x v="21"/>
    <x v="34"/>
    <x v="34"/>
    <x v="6"/>
    <x v="0"/>
    <x v="1"/>
    <x v="4"/>
    <x v="15"/>
    <x v="43"/>
    <x v="0"/>
    <x v="0"/>
    <x v="0"/>
    <x v="1"/>
  </r>
  <r>
    <x v="0"/>
    <x v="0"/>
    <x v="1"/>
    <x v="30"/>
    <x v="8"/>
    <x v="2"/>
    <x v="1"/>
    <x v="0"/>
    <x v="97"/>
    <x v="53"/>
    <x v="52"/>
    <x v="73"/>
    <x v="3"/>
    <x v="74"/>
    <x v="79"/>
    <x v="111"/>
    <x v="111"/>
    <x v="3"/>
    <x v="15"/>
    <x v="63"/>
    <x v="89"/>
    <x v="59"/>
    <x v="87"/>
    <x v="8"/>
    <x v="53"/>
    <x v="47"/>
    <x v="43"/>
    <x v="36"/>
    <x v="9"/>
    <x v="3"/>
    <x v="0"/>
    <x v="7"/>
    <x v="1"/>
    <x v="35"/>
    <x v="14"/>
    <x v="1"/>
    <x v="8"/>
    <x v="37"/>
    <x v="16"/>
    <x v="50"/>
    <x v="56"/>
    <x v="1"/>
    <x v="4"/>
    <x v="2"/>
    <x v="2"/>
    <x v="2"/>
    <x v="21"/>
    <x v="32"/>
    <x v="32"/>
    <x v="6"/>
    <x v="0"/>
    <x v="1"/>
    <x v="4"/>
    <x v="22"/>
    <x v="11"/>
    <x v="0"/>
    <x v="0"/>
    <x v="0"/>
    <x v="1"/>
  </r>
  <r>
    <x v="0"/>
    <x v="0"/>
    <x v="1"/>
    <x v="47"/>
    <x v="8"/>
    <x v="2"/>
    <x v="1"/>
    <x v="1"/>
    <x v="98"/>
    <x v="69"/>
    <x v="12"/>
    <x v="69"/>
    <x v="3"/>
    <x v="68"/>
    <x v="73"/>
    <x v="107"/>
    <x v="107"/>
    <x v="3"/>
    <x v="15"/>
    <x v="58"/>
    <x v="77"/>
    <x v="51"/>
    <x v="80"/>
    <x v="8"/>
    <x v="39"/>
    <x v="40"/>
    <x v="37"/>
    <x v="28"/>
    <x v="7"/>
    <x v="3"/>
    <x v="0"/>
    <x v="7"/>
    <x v="4"/>
    <x v="20"/>
    <x v="11"/>
    <x v="1"/>
    <x v="6"/>
    <x v="40"/>
    <x v="49"/>
    <x v="37"/>
    <x v="2"/>
    <x v="1"/>
    <x v="4"/>
    <x v="4"/>
    <x v="5"/>
    <x v="2"/>
    <x v="21"/>
    <x v="29"/>
    <x v="29"/>
    <x v="6"/>
    <x v="0"/>
    <x v="0"/>
    <x v="0"/>
    <x v="11"/>
    <x v="57"/>
    <x v="0"/>
    <x v="0"/>
    <x v="0"/>
    <x v="1"/>
  </r>
  <r>
    <x v="0"/>
    <x v="0"/>
    <x v="1"/>
    <x v="41"/>
    <x v="8"/>
    <x v="2"/>
    <x v="1"/>
    <x v="0"/>
    <x v="99"/>
    <x v="65"/>
    <x v="8"/>
    <x v="70"/>
    <x v="3"/>
    <x v="68"/>
    <x v="73"/>
    <x v="107"/>
    <x v="107"/>
    <x v="3"/>
    <x v="15"/>
    <x v="61"/>
    <x v="95"/>
    <x v="51"/>
    <x v="80"/>
    <x v="8"/>
    <x v="39"/>
    <x v="40"/>
    <x v="37"/>
    <x v="36"/>
    <x v="46"/>
    <x v="3"/>
    <x v="0"/>
    <x v="7"/>
    <x v="18"/>
    <x v="24"/>
    <x v="16"/>
    <x v="1"/>
    <x v="4"/>
    <x v="110"/>
    <x v="26"/>
    <x v="44"/>
    <x v="39"/>
    <x v="1"/>
    <x v="4"/>
    <x v="2"/>
    <x v="18"/>
    <x v="2"/>
    <x v="21"/>
    <x v="29"/>
    <x v="29"/>
    <x v="6"/>
    <x v="0"/>
    <x v="3"/>
    <x v="1"/>
    <x v="48"/>
    <x v="19"/>
    <x v="0"/>
    <x v="0"/>
    <x v="0"/>
    <x v="1"/>
  </r>
  <r>
    <x v="0"/>
    <x v="0"/>
    <x v="1"/>
    <x v="20"/>
    <x v="8"/>
    <x v="2"/>
    <x v="1"/>
    <x v="1"/>
    <x v="100"/>
    <x v="31"/>
    <x v="11"/>
    <x v="77"/>
    <x v="3"/>
    <x v="82"/>
    <x v="87"/>
    <x v="113"/>
    <x v="113"/>
    <x v="3"/>
    <x v="23"/>
    <x v="79"/>
    <x v="107"/>
    <x v="72"/>
    <x v="101"/>
    <x v="8"/>
    <x v="77"/>
    <x v="60"/>
    <x v="54"/>
    <x v="36"/>
    <x v="46"/>
    <x v="3"/>
    <x v="0"/>
    <x v="7"/>
    <x v="18"/>
    <x v="34"/>
    <x v="29"/>
    <x v="1"/>
    <x v="36"/>
    <x v="110"/>
    <x v="65"/>
    <x v="50"/>
    <x v="56"/>
    <x v="1"/>
    <x v="4"/>
    <x v="4"/>
    <x v="3"/>
    <x v="2"/>
    <x v="21"/>
    <x v="38"/>
    <x v="38"/>
    <x v="6"/>
    <x v="0"/>
    <x v="2"/>
    <x v="4"/>
    <x v="25"/>
    <x v="12"/>
    <x v="0"/>
    <x v="0"/>
    <x v="0"/>
    <x v="1"/>
  </r>
  <r>
    <x v="0"/>
    <x v="0"/>
    <x v="1"/>
    <x v="30"/>
    <x v="8"/>
    <x v="2"/>
    <x v="1"/>
    <x v="0"/>
    <x v="101"/>
    <x v="54"/>
    <x v="52"/>
    <x v="76"/>
    <x v="3"/>
    <x v="81"/>
    <x v="86"/>
    <x v="109"/>
    <x v="109"/>
    <x v="3"/>
    <x v="23"/>
    <x v="28"/>
    <x v="102"/>
    <x v="71"/>
    <x v="99"/>
    <x v="8"/>
    <x v="72"/>
    <x v="58"/>
    <x v="53"/>
    <x v="36"/>
    <x v="9"/>
    <x v="3"/>
    <x v="0"/>
    <x v="7"/>
    <x v="4"/>
    <x v="35"/>
    <x v="22"/>
    <x v="1"/>
    <x v="8"/>
    <x v="38"/>
    <x v="26"/>
    <x v="8"/>
    <x v="40"/>
    <x v="1"/>
    <x v="4"/>
    <x v="4"/>
    <x v="3"/>
    <x v="2"/>
    <x v="21"/>
    <x v="37"/>
    <x v="37"/>
    <x v="6"/>
    <x v="0"/>
    <x v="1"/>
    <x v="4"/>
    <x v="29"/>
    <x v="58"/>
    <x v="0"/>
    <x v="0"/>
    <x v="0"/>
    <x v="1"/>
  </r>
  <r>
    <x v="0"/>
    <x v="0"/>
    <x v="1"/>
    <x v="47"/>
    <x v="8"/>
    <x v="2"/>
    <x v="1"/>
    <x v="2"/>
    <x v="102"/>
    <x v="69"/>
    <x v="12"/>
    <x v="74"/>
    <x v="3"/>
    <x v="77"/>
    <x v="82"/>
    <x v="104"/>
    <x v="104"/>
    <x v="3"/>
    <x v="23"/>
    <x v="57"/>
    <x v="99"/>
    <x v="65"/>
    <x v="97"/>
    <x v="8"/>
    <x v="66"/>
    <x v="53"/>
    <x v="49"/>
    <x v="36"/>
    <x v="20"/>
    <x v="3"/>
    <x v="0"/>
    <x v="7"/>
    <x v="3"/>
    <x v="28"/>
    <x v="18"/>
    <x v="1"/>
    <x v="6"/>
    <x v="39"/>
    <x v="120"/>
    <x v="50"/>
    <x v="56"/>
    <x v="1"/>
    <x v="4"/>
    <x v="4"/>
    <x v="5"/>
    <x v="2"/>
    <x v="21"/>
    <x v="33"/>
    <x v="33"/>
    <x v="6"/>
    <x v="0"/>
    <x v="1"/>
    <x v="4"/>
    <x v="8"/>
    <x v="24"/>
    <x v="0"/>
    <x v="0"/>
    <x v="0"/>
    <x v="1"/>
  </r>
  <r>
    <x v="0"/>
    <x v="0"/>
    <x v="1"/>
    <x v="41"/>
    <x v="8"/>
    <x v="2"/>
    <x v="1"/>
    <x v="0"/>
    <x v="103"/>
    <x v="65"/>
    <x v="8"/>
    <x v="62"/>
    <x v="3"/>
    <x v="55"/>
    <x v="58"/>
    <x v="49"/>
    <x v="49"/>
    <x v="3"/>
    <x v="10"/>
    <x v="26"/>
    <x v="95"/>
    <x v="16"/>
    <x v="70"/>
    <x v="8"/>
    <x v="23"/>
    <x v="24"/>
    <x v="24"/>
    <x v="36"/>
    <x v="20"/>
    <x v="3"/>
    <x v="0"/>
    <x v="7"/>
    <x v="18"/>
    <x v="24"/>
    <x v="16"/>
    <x v="1"/>
    <x v="9"/>
    <x v="35"/>
    <x v="19"/>
    <x v="23"/>
    <x v="9"/>
    <x v="1"/>
    <x v="3"/>
    <x v="0"/>
    <x v="22"/>
    <x v="2"/>
    <x v="21"/>
    <x v="24"/>
    <x v="24"/>
    <x v="6"/>
    <x v="0"/>
    <x v="2"/>
    <x v="4"/>
    <x v="96"/>
    <x v="24"/>
    <x v="0"/>
    <x v="0"/>
    <x v="0"/>
    <x v="1"/>
  </r>
  <r>
    <x v="0"/>
    <x v="0"/>
    <x v="1"/>
    <x v="20"/>
    <x v="8"/>
    <x v="2"/>
    <x v="1"/>
    <x v="2"/>
    <x v="104"/>
    <x v="75"/>
    <x v="21"/>
    <x v="67"/>
    <x v="3"/>
    <x v="63"/>
    <x v="68"/>
    <x v="83"/>
    <x v="83"/>
    <x v="3"/>
    <x v="4"/>
    <x v="35"/>
    <x v="63"/>
    <x v="44"/>
    <x v="73"/>
    <x v="8"/>
    <x v="28"/>
    <x v="30"/>
    <x v="29"/>
    <x v="36"/>
    <x v="12"/>
    <x v="3"/>
    <x v="0"/>
    <x v="7"/>
    <x v="18"/>
    <x v="11"/>
    <x v="5"/>
    <x v="1"/>
    <x v="16"/>
    <x v="110"/>
    <x v="49"/>
    <x v="50"/>
    <x v="56"/>
    <x v="1"/>
    <x v="1"/>
    <x v="0"/>
    <x v="26"/>
    <x v="2"/>
    <x v="21"/>
    <x v="25"/>
    <x v="25"/>
    <x v="6"/>
    <x v="0"/>
    <x v="0"/>
    <x v="1"/>
    <x v="104"/>
    <x v="41"/>
    <x v="0"/>
    <x v="0"/>
    <x v="0"/>
    <x v="1"/>
  </r>
  <r>
    <x v="0"/>
    <x v="0"/>
    <x v="1"/>
    <x v="30"/>
    <x v="8"/>
    <x v="2"/>
    <x v="1"/>
    <x v="0"/>
    <x v="105"/>
    <x v="54"/>
    <x v="52"/>
    <x v="63"/>
    <x v="3"/>
    <x v="55"/>
    <x v="58"/>
    <x v="49"/>
    <x v="49"/>
    <x v="3"/>
    <x v="5"/>
    <x v="9"/>
    <x v="28"/>
    <x v="16"/>
    <x v="70"/>
    <x v="8"/>
    <x v="23"/>
    <x v="24"/>
    <x v="24"/>
    <x v="36"/>
    <x v="12"/>
    <x v="3"/>
    <x v="0"/>
    <x v="7"/>
    <x v="18"/>
    <x v="35"/>
    <x v="4"/>
    <x v="1"/>
    <x v="13"/>
    <x v="36"/>
    <x v="25"/>
    <x v="50"/>
    <x v="56"/>
    <x v="1"/>
    <x v="1"/>
    <x v="0"/>
    <x v="20"/>
    <x v="2"/>
    <x v="21"/>
    <x v="24"/>
    <x v="24"/>
    <x v="6"/>
    <x v="0"/>
    <x v="2"/>
    <x v="4"/>
    <x v="92"/>
    <x v="9"/>
    <x v="0"/>
    <x v="0"/>
    <x v="0"/>
    <x v="1"/>
  </r>
  <r>
    <x v="0"/>
    <x v="0"/>
    <x v="1"/>
    <x v="20"/>
    <x v="8"/>
    <x v="2"/>
    <x v="1"/>
    <x v="0"/>
    <x v="106"/>
    <x v="27"/>
    <x v="52"/>
    <x v="64"/>
    <x v="3"/>
    <x v="55"/>
    <x v="58"/>
    <x v="90"/>
    <x v="90"/>
    <x v="3"/>
    <x v="15"/>
    <x v="61"/>
    <x v="60"/>
    <x v="26"/>
    <x v="70"/>
    <x v="8"/>
    <x v="23"/>
    <x v="24"/>
    <x v="24"/>
    <x v="36"/>
    <x v="5"/>
    <x v="3"/>
    <x v="0"/>
    <x v="7"/>
    <x v="18"/>
    <x v="35"/>
    <x v="33"/>
    <x v="1"/>
    <x v="4"/>
    <x v="110"/>
    <x v="25"/>
    <x v="50"/>
    <x v="56"/>
    <x v="1"/>
    <x v="4"/>
    <x v="0"/>
    <x v="21"/>
    <x v="2"/>
    <x v="21"/>
    <x v="24"/>
    <x v="24"/>
    <x v="6"/>
    <x v="0"/>
    <x v="1"/>
    <x v="4"/>
    <x v="8"/>
    <x v="18"/>
    <x v="0"/>
    <x v="0"/>
    <x v="0"/>
    <x v="1"/>
  </r>
  <r>
    <x v="0"/>
    <x v="0"/>
    <x v="1"/>
    <x v="10"/>
    <x v="9"/>
    <x v="2"/>
    <x v="1"/>
    <x v="0"/>
    <x v="107"/>
    <x v="73"/>
    <x v="49"/>
    <x v="71"/>
    <x v="3"/>
    <x v="55"/>
    <x v="58"/>
    <x v="90"/>
    <x v="90"/>
    <x v="3"/>
    <x v="16"/>
    <x v="6"/>
    <x v="74"/>
    <x v="26"/>
    <x v="70"/>
    <x v="8"/>
    <x v="23"/>
    <x v="24"/>
    <x v="24"/>
    <x v="36"/>
    <x v="8"/>
    <x v="3"/>
    <x v="0"/>
    <x v="7"/>
    <x v="18"/>
    <x v="16"/>
    <x v="11"/>
    <x v="1"/>
    <x v="7"/>
    <x v="33"/>
    <x v="22"/>
    <x v="35"/>
    <x v="0"/>
    <x v="0"/>
    <x v="1"/>
    <x v="0"/>
    <x v="11"/>
    <x v="2"/>
    <x v="21"/>
    <x v="24"/>
    <x v="24"/>
    <x v="6"/>
    <x v="0"/>
    <x v="1"/>
    <x v="1"/>
    <x v="32"/>
    <x v="5"/>
    <x v="0"/>
    <x v="0"/>
    <x v="0"/>
    <x v="1"/>
  </r>
  <r>
    <x v="0"/>
    <x v="0"/>
    <x v="1"/>
    <x v="10"/>
    <x v="9"/>
    <x v="2"/>
    <x v="1"/>
    <x v="0"/>
    <x v="108"/>
    <x v="73"/>
    <x v="49"/>
    <x v="71"/>
    <x v="3"/>
    <x v="55"/>
    <x v="58"/>
    <x v="49"/>
    <x v="49"/>
    <x v="3"/>
    <x v="3"/>
    <x v="34"/>
    <x v="53"/>
    <x v="16"/>
    <x v="70"/>
    <x v="8"/>
    <x v="23"/>
    <x v="24"/>
    <x v="24"/>
    <x v="36"/>
    <x v="8"/>
    <x v="3"/>
    <x v="0"/>
    <x v="7"/>
    <x v="18"/>
    <x v="16"/>
    <x v="11"/>
    <x v="1"/>
    <x v="7"/>
    <x v="34"/>
    <x v="28"/>
    <x v="6"/>
    <x v="25"/>
    <x v="0"/>
    <x v="1"/>
    <x v="0"/>
    <x v="11"/>
    <x v="2"/>
    <x v="21"/>
    <x v="24"/>
    <x v="24"/>
    <x v="6"/>
    <x v="0"/>
    <x v="3"/>
    <x v="1"/>
    <x v="120"/>
    <x v="5"/>
    <x v="0"/>
    <x v="0"/>
    <x v="0"/>
    <x v="1"/>
  </r>
  <r>
    <x v="0"/>
    <x v="0"/>
    <x v="0"/>
    <x v="26"/>
    <x v="11"/>
    <x v="2"/>
    <x v="6"/>
    <x v="0"/>
    <x v="109"/>
    <x v="61"/>
    <x v="20"/>
    <x v="65"/>
    <x v="3"/>
    <x v="61"/>
    <x v="66"/>
    <x v="82"/>
    <x v="82"/>
    <x v="3"/>
    <x v="4"/>
    <x v="35"/>
    <x v="16"/>
    <x v="42"/>
    <x v="72"/>
    <x v="8"/>
    <x v="27"/>
    <x v="28"/>
    <x v="28"/>
    <x v="36"/>
    <x v="4"/>
    <x v="3"/>
    <x v="0"/>
    <x v="7"/>
    <x v="18"/>
    <x v="0"/>
    <x v="7"/>
    <x v="1"/>
    <x v="36"/>
    <x v="38"/>
    <x v="64"/>
    <x v="50"/>
    <x v="56"/>
    <x v="1"/>
    <x v="4"/>
    <x v="2"/>
    <x v="18"/>
    <x v="2"/>
    <x v="21"/>
    <x v="25"/>
    <x v="25"/>
    <x v="6"/>
    <x v="0"/>
    <x v="0"/>
    <x v="1"/>
    <x v="102"/>
    <x v="29"/>
    <x v="0"/>
    <x v="0"/>
    <x v="0"/>
    <x v="1"/>
  </r>
  <r>
    <x v="0"/>
    <x v="0"/>
    <x v="0"/>
    <x v="26"/>
    <x v="11"/>
    <x v="2"/>
    <x v="4"/>
    <x v="0"/>
    <x v="110"/>
    <x v="35"/>
    <x v="20"/>
    <x v="72"/>
    <x v="3"/>
    <x v="68"/>
    <x v="73"/>
    <x v="107"/>
    <x v="107"/>
    <x v="3"/>
    <x v="18"/>
    <x v="76"/>
    <x v="77"/>
    <x v="51"/>
    <x v="89"/>
    <x v="8"/>
    <x v="39"/>
    <x v="40"/>
    <x v="37"/>
    <x v="36"/>
    <x v="5"/>
    <x v="3"/>
    <x v="0"/>
    <x v="7"/>
    <x v="18"/>
    <x v="25"/>
    <x v="0"/>
    <x v="1"/>
    <x v="4"/>
    <x v="37"/>
    <x v="52"/>
    <x v="50"/>
    <x v="56"/>
    <x v="1"/>
    <x v="4"/>
    <x v="2"/>
    <x v="18"/>
    <x v="2"/>
    <x v="21"/>
    <x v="29"/>
    <x v="29"/>
    <x v="6"/>
    <x v="0"/>
    <x v="2"/>
    <x v="1"/>
    <x v="90"/>
    <x v="29"/>
    <x v="0"/>
    <x v="0"/>
    <x v="0"/>
    <x v="1"/>
  </r>
  <r>
    <x v="0"/>
    <x v="0"/>
    <x v="1"/>
    <x v="46"/>
    <x v="4"/>
    <x v="2"/>
    <x v="1"/>
    <x v="0"/>
    <x v="111"/>
    <x v="14"/>
    <x v="56"/>
    <x v="78"/>
    <x v="4"/>
    <x v="55"/>
    <x v="58"/>
    <x v="49"/>
    <x v="49"/>
    <x v="3"/>
    <x v="10"/>
    <x v="53"/>
    <x v="39"/>
    <x v="19"/>
    <x v="59"/>
    <x v="8"/>
    <x v="47"/>
    <x v="24"/>
    <x v="24"/>
    <x v="36"/>
    <x v="24"/>
    <x v="4"/>
    <x v="0"/>
    <x v="7"/>
    <x v="18"/>
    <x v="1"/>
    <x v="33"/>
    <x v="1"/>
    <x v="36"/>
    <x v="41"/>
    <x v="27"/>
    <x v="24"/>
    <x v="33"/>
    <x v="1"/>
    <x v="4"/>
    <x v="2"/>
    <x v="18"/>
    <x v="2"/>
    <x v="21"/>
    <x v="24"/>
    <x v="24"/>
    <x v="6"/>
    <x v="0"/>
    <x v="2"/>
    <x v="4"/>
    <x v="82"/>
    <x v="36"/>
    <x v="0"/>
    <x v="0"/>
    <x v="0"/>
    <x v="1"/>
  </r>
  <r>
    <x v="0"/>
    <x v="0"/>
    <x v="1"/>
    <x v="20"/>
    <x v="8"/>
    <x v="2"/>
    <x v="1"/>
    <x v="0"/>
    <x v="112"/>
    <x v="31"/>
    <x v="11"/>
    <x v="87"/>
    <x v="4"/>
    <x v="80"/>
    <x v="85"/>
    <x v="117"/>
    <x v="117"/>
    <x v="3"/>
    <x v="23"/>
    <x v="56"/>
    <x v="106"/>
    <x v="73"/>
    <x v="95"/>
    <x v="8"/>
    <x v="86"/>
    <x v="56"/>
    <x v="52"/>
    <x v="36"/>
    <x v="22"/>
    <x v="4"/>
    <x v="0"/>
    <x v="7"/>
    <x v="18"/>
    <x v="35"/>
    <x v="33"/>
    <x v="1"/>
    <x v="36"/>
    <x v="49"/>
    <x v="68"/>
    <x v="50"/>
    <x v="56"/>
    <x v="1"/>
    <x v="4"/>
    <x v="2"/>
    <x v="18"/>
    <x v="2"/>
    <x v="21"/>
    <x v="36"/>
    <x v="36"/>
    <x v="6"/>
    <x v="0"/>
    <x v="1"/>
    <x v="1"/>
    <x v="19"/>
    <x v="42"/>
    <x v="0"/>
    <x v="0"/>
    <x v="0"/>
    <x v="1"/>
  </r>
  <r>
    <x v="0"/>
    <x v="0"/>
    <x v="1"/>
    <x v="20"/>
    <x v="8"/>
    <x v="2"/>
    <x v="1"/>
    <x v="0"/>
    <x v="113"/>
    <x v="31"/>
    <x v="11"/>
    <x v="87"/>
    <x v="4"/>
    <x v="80"/>
    <x v="85"/>
    <x v="117"/>
    <x v="117"/>
    <x v="3"/>
    <x v="15"/>
    <x v="54"/>
    <x v="103"/>
    <x v="69"/>
    <x v="95"/>
    <x v="8"/>
    <x v="84"/>
    <x v="56"/>
    <x v="52"/>
    <x v="36"/>
    <x v="22"/>
    <x v="4"/>
    <x v="0"/>
    <x v="7"/>
    <x v="18"/>
    <x v="35"/>
    <x v="33"/>
    <x v="1"/>
    <x v="36"/>
    <x v="48"/>
    <x v="123"/>
    <x v="50"/>
    <x v="56"/>
    <x v="1"/>
    <x v="4"/>
    <x v="2"/>
    <x v="18"/>
    <x v="2"/>
    <x v="21"/>
    <x v="36"/>
    <x v="36"/>
    <x v="6"/>
    <x v="0"/>
    <x v="1"/>
    <x v="1"/>
    <x v="20"/>
    <x v="43"/>
    <x v="0"/>
    <x v="0"/>
    <x v="0"/>
    <x v="1"/>
  </r>
  <r>
    <x v="0"/>
    <x v="0"/>
    <x v="1"/>
    <x v="20"/>
    <x v="8"/>
    <x v="2"/>
    <x v="1"/>
    <x v="1"/>
    <x v="114"/>
    <x v="31"/>
    <x v="11"/>
    <x v="87"/>
    <x v="4"/>
    <x v="68"/>
    <x v="73"/>
    <x v="107"/>
    <x v="107"/>
    <x v="3"/>
    <x v="15"/>
    <x v="61"/>
    <x v="77"/>
    <x v="51"/>
    <x v="80"/>
    <x v="8"/>
    <x v="74"/>
    <x v="40"/>
    <x v="37"/>
    <x v="36"/>
    <x v="22"/>
    <x v="4"/>
    <x v="0"/>
    <x v="7"/>
    <x v="18"/>
    <x v="35"/>
    <x v="33"/>
    <x v="1"/>
    <x v="36"/>
    <x v="47"/>
    <x v="28"/>
    <x v="42"/>
    <x v="10"/>
    <x v="1"/>
    <x v="4"/>
    <x v="2"/>
    <x v="18"/>
    <x v="2"/>
    <x v="21"/>
    <x v="29"/>
    <x v="29"/>
    <x v="6"/>
    <x v="0"/>
    <x v="2"/>
    <x v="4"/>
    <x v="37"/>
    <x v="40"/>
    <x v="0"/>
    <x v="0"/>
    <x v="0"/>
    <x v="1"/>
  </r>
  <r>
    <x v="0"/>
    <x v="0"/>
    <x v="1"/>
    <x v="30"/>
    <x v="8"/>
    <x v="2"/>
    <x v="1"/>
    <x v="1"/>
    <x v="115"/>
    <x v="53"/>
    <x v="52"/>
    <x v="88"/>
    <x v="4"/>
    <x v="83"/>
    <x v="88"/>
    <x v="118"/>
    <x v="118"/>
    <x v="3"/>
    <x v="23"/>
    <x v="13"/>
    <x v="109"/>
    <x v="75"/>
    <x v="100"/>
    <x v="8"/>
    <x v="81"/>
    <x v="61"/>
    <x v="55"/>
    <x v="36"/>
    <x v="22"/>
    <x v="4"/>
    <x v="0"/>
    <x v="7"/>
    <x v="9"/>
    <x v="0"/>
    <x v="32"/>
    <x v="1"/>
    <x v="36"/>
    <x v="110"/>
    <x v="40"/>
    <x v="1"/>
    <x v="28"/>
    <x v="1"/>
    <x v="4"/>
    <x v="4"/>
    <x v="3"/>
    <x v="2"/>
    <x v="21"/>
    <x v="39"/>
    <x v="39"/>
    <x v="6"/>
    <x v="0"/>
    <x v="4"/>
    <x v="4"/>
    <x v="0"/>
    <x v="16"/>
    <x v="0"/>
    <x v="0"/>
    <x v="0"/>
    <x v="1"/>
  </r>
  <r>
    <x v="0"/>
    <x v="0"/>
    <x v="1"/>
    <x v="30"/>
    <x v="8"/>
    <x v="2"/>
    <x v="1"/>
    <x v="1"/>
    <x v="116"/>
    <x v="53"/>
    <x v="52"/>
    <x v="88"/>
    <x v="4"/>
    <x v="75"/>
    <x v="80"/>
    <x v="112"/>
    <x v="112"/>
    <x v="3"/>
    <x v="17"/>
    <x v="14"/>
    <x v="91"/>
    <x v="60"/>
    <x v="88"/>
    <x v="8"/>
    <x v="54"/>
    <x v="48"/>
    <x v="44"/>
    <x v="36"/>
    <x v="21"/>
    <x v="4"/>
    <x v="0"/>
    <x v="7"/>
    <x v="18"/>
    <x v="35"/>
    <x v="33"/>
    <x v="1"/>
    <x v="36"/>
    <x v="110"/>
    <x v="21"/>
    <x v="50"/>
    <x v="56"/>
    <x v="1"/>
    <x v="4"/>
    <x v="4"/>
    <x v="3"/>
    <x v="2"/>
    <x v="21"/>
    <x v="32"/>
    <x v="32"/>
    <x v="6"/>
    <x v="0"/>
    <x v="1"/>
    <x v="4"/>
    <x v="14"/>
    <x v="14"/>
    <x v="0"/>
    <x v="0"/>
    <x v="0"/>
    <x v="1"/>
  </r>
  <r>
    <x v="0"/>
    <x v="0"/>
    <x v="1"/>
    <x v="30"/>
    <x v="8"/>
    <x v="2"/>
    <x v="1"/>
    <x v="0"/>
    <x v="117"/>
    <x v="54"/>
    <x v="52"/>
    <x v="88"/>
    <x v="4"/>
    <x v="84"/>
    <x v="89"/>
    <x v="119"/>
    <x v="119"/>
    <x v="3"/>
    <x v="17"/>
    <x v="12"/>
    <x v="108"/>
    <x v="74"/>
    <x v="102"/>
    <x v="8"/>
    <x v="82"/>
    <x v="62"/>
    <x v="56"/>
    <x v="36"/>
    <x v="18"/>
    <x v="4"/>
    <x v="0"/>
    <x v="7"/>
    <x v="18"/>
    <x v="35"/>
    <x v="33"/>
    <x v="1"/>
    <x v="36"/>
    <x v="110"/>
    <x v="33"/>
    <x v="21"/>
    <x v="54"/>
    <x v="1"/>
    <x v="4"/>
    <x v="5"/>
    <x v="4"/>
    <x v="2"/>
    <x v="21"/>
    <x v="40"/>
    <x v="40"/>
    <x v="6"/>
    <x v="0"/>
    <x v="1"/>
    <x v="4"/>
    <x v="24"/>
    <x v="1"/>
    <x v="0"/>
    <x v="0"/>
    <x v="0"/>
    <x v="1"/>
  </r>
  <r>
    <x v="0"/>
    <x v="0"/>
    <x v="1"/>
    <x v="48"/>
    <x v="8"/>
    <x v="2"/>
    <x v="1"/>
    <x v="0"/>
    <x v="118"/>
    <x v="69"/>
    <x v="12"/>
    <x v="85"/>
    <x v="4"/>
    <x v="79"/>
    <x v="84"/>
    <x v="116"/>
    <x v="116"/>
    <x v="3"/>
    <x v="17"/>
    <x v="4"/>
    <x v="102"/>
    <x v="67"/>
    <x v="94"/>
    <x v="8"/>
    <x v="70"/>
    <x v="55"/>
    <x v="51"/>
    <x v="36"/>
    <x v="18"/>
    <x v="4"/>
    <x v="0"/>
    <x v="6"/>
    <x v="9"/>
    <x v="0"/>
    <x v="31"/>
    <x v="1"/>
    <x v="17"/>
    <x v="46"/>
    <x v="25"/>
    <x v="49"/>
    <x v="4"/>
    <x v="1"/>
    <x v="4"/>
    <x v="4"/>
    <x v="3"/>
    <x v="2"/>
    <x v="21"/>
    <x v="35"/>
    <x v="35"/>
    <x v="6"/>
    <x v="0"/>
    <x v="1"/>
    <x v="4"/>
    <x v="36"/>
    <x v="22"/>
    <x v="0"/>
    <x v="0"/>
    <x v="0"/>
    <x v="1"/>
  </r>
  <r>
    <x v="0"/>
    <x v="0"/>
    <x v="0"/>
    <x v="13"/>
    <x v="11"/>
    <x v="2"/>
    <x v="4"/>
    <x v="0"/>
    <x v="119"/>
    <x v="10"/>
    <x v="13"/>
    <x v="84"/>
    <x v="4"/>
    <x v="69"/>
    <x v="74"/>
    <x v="63"/>
    <x v="63"/>
    <x v="3"/>
    <x v="10"/>
    <x v="53"/>
    <x v="75"/>
    <x v="46"/>
    <x v="81"/>
    <x v="8"/>
    <x v="40"/>
    <x v="41"/>
    <x v="38"/>
    <x v="36"/>
    <x v="18"/>
    <x v="4"/>
    <x v="0"/>
    <x v="7"/>
    <x v="18"/>
    <x v="0"/>
    <x v="23"/>
    <x v="1"/>
    <x v="36"/>
    <x v="42"/>
    <x v="32"/>
    <x v="50"/>
    <x v="56"/>
    <x v="1"/>
    <x v="1"/>
    <x v="0"/>
    <x v="1"/>
    <x v="2"/>
    <x v="21"/>
    <x v="29"/>
    <x v="29"/>
    <x v="6"/>
    <x v="0"/>
    <x v="2"/>
    <x v="1"/>
    <x v="113"/>
    <x v="30"/>
    <x v="0"/>
    <x v="0"/>
    <x v="0"/>
    <x v="1"/>
  </r>
  <r>
    <x v="0"/>
    <x v="0"/>
    <x v="0"/>
    <x v="26"/>
    <x v="11"/>
    <x v="2"/>
    <x v="6"/>
    <x v="0"/>
    <x v="120"/>
    <x v="35"/>
    <x v="20"/>
    <x v="79"/>
    <x v="4"/>
    <x v="55"/>
    <x v="58"/>
    <x v="90"/>
    <x v="90"/>
    <x v="3"/>
    <x v="23"/>
    <x v="85"/>
    <x v="65"/>
    <x v="45"/>
    <x v="59"/>
    <x v="8"/>
    <x v="23"/>
    <x v="24"/>
    <x v="24"/>
    <x v="36"/>
    <x v="12"/>
    <x v="4"/>
    <x v="0"/>
    <x v="7"/>
    <x v="18"/>
    <x v="17"/>
    <x v="0"/>
    <x v="1"/>
    <x v="15"/>
    <x v="45"/>
    <x v="15"/>
    <x v="50"/>
    <x v="56"/>
    <x v="1"/>
    <x v="4"/>
    <x v="2"/>
    <x v="18"/>
    <x v="2"/>
    <x v="21"/>
    <x v="24"/>
    <x v="24"/>
    <x v="6"/>
    <x v="0"/>
    <x v="2"/>
    <x v="1"/>
    <x v="64"/>
    <x v="29"/>
    <x v="0"/>
    <x v="0"/>
    <x v="0"/>
    <x v="1"/>
  </r>
  <r>
    <x v="0"/>
    <x v="0"/>
    <x v="1"/>
    <x v="42"/>
    <x v="10"/>
    <x v="2"/>
    <x v="1"/>
    <x v="0"/>
    <x v="121"/>
    <x v="49"/>
    <x v="50"/>
    <x v="80"/>
    <x v="4"/>
    <x v="55"/>
    <x v="58"/>
    <x v="49"/>
    <x v="49"/>
    <x v="3"/>
    <x v="1"/>
    <x v="27"/>
    <x v="60"/>
    <x v="31"/>
    <x v="59"/>
    <x v="8"/>
    <x v="23"/>
    <x v="24"/>
    <x v="24"/>
    <x v="36"/>
    <x v="23"/>
    <x v="4"/>
    <x v="0"/>
    <x v="7"/>
    <x v="18"/>
    <x v="35"/>
    <x v="33"/>
    <x v="1"/>
    <x v="18"/>
    <x v="43"/>
    <x v="75"/>
    <x v="16"/>
    <x v="3"/>
    <x v="1"/>
    <x v="4"/>
    <x v="2"/>
    <x v="18"/>
    <x v="2"/>
    <x v="21"/>
    <x v="24"/>
    <x v="24"/>
    <x v="6"/>
    <x v="0"/>
    <x v="0"/>
    <x v="2"/>
    <x v="53"/>
    <x v="45"/>
    <x v="0"/>
    <x v="0"/>
    <x v="0"/>
    <x v="1"/>
  </r>
  <r>
    <x v="0"/>
    <x v="0"/>
    <x v="1"/>
    <x v="12"/>
    <x v="15"/>
    <x v="2"/>
    <x v="1"/>
    <x v="0"/>
    <x v="122"/>
    <x v="77"/>
    <x v="44"/>
    <x v="81"/>
    <x v="4"/>
    <x v="55"/>
    <x v="58"/>
    <x v="49"/>
    <x v="49"/>
    <x v="3"/>
    <x v="10"/>
    <x v="30"/>
    <x v="53"/>
    <x v="19"/>
    <x v="59"/>
    <x v="8"/>
    <x v="23"/>
    <x v="24"/>
    <x v="24"/>
    <x v="36"/>
    <x v="14"/>
    <x v="4"/>
    <x v="0"/>
    <x v="7"/>
    <x v="18"/>
    <x v="35"/>
    <x v="33"/>
    <x v="1"/>
    <x v="36"/>
    <x v="44"/>
    <x v="54"/>
    <x v="50"/>
    <x v="56"/>
    <x v="1"/>
    <x v="4"/>
    <x v="2"/>
    <x v="18"/>
    <x v="2"/>
    <x v="21"/>
    <x v="24"/>
    <x v="24"/>
    <x v="6"/>
    <x v="0"/>
    <x v="3"/>
    <x v="1"/>
    <x v="92"/>
    <x v="8"/>
    <x v="0"/>
    <x v="0"/>
    <x v="0"/>
    <x v="1"/>
  </r>
  <r>
    <x v="0"/>
    <x v="0"/>
    <x v="1"/>
    <x v="41"/>
    <x v="8"/>
    <x v="2"/>
    <x v="1"/>
    <x v="0"/>
    <x v="123"/>
    <x v="69"/>
    <x v="14"/>
    <x v="83"/>
    <x v="4"/>
    <x v="67"/>
    <x v="72"/>
    <x v="59"/>
    <x v="59"/>
    <x v="1"/>
    <x v="4"/>
    <x v="36"/>
    <x v="79"/>
    <x v="41"/>
    <x v="77"/>
    <x v="8"/>
    <x v="33"/>
    <x v="39"/>
    <x v="35"/>
    <x v="36"/>
    <x v="15"/>
    <x v="4"/>
    <x v="0"/>
    <x v="7"/>
    <x v="18"/>
    <x v="35"/>
    <x v="33"/>
    <x v="1"/>
    <x v="36"/>
    <x v="110"/>
    <x v="123"/>
    <x v="50"/>
    <x v="56"/>
    <x v="1"/>
    <x v="4"/>
    <x v="7"/>
    <x v="27"/>
    <x v="0"/>
    <x v="21"/>
    <x v="28"/>
    <x v="28"/>
    <x v="6"/>
    <x v="0"/>
    <x v="4"/>
    <x v="4"/>
    <x v="2"/>
    <x v="19"/>
    <x v="0"/>
    <x v="0"/>
    <x v="0"/>
    <x v="1"/>
  </r>
  <r>
    <x v="0"/>
    <x v="0"/>
    <x v="1"/>
    <x v="32"/>
    <x v="15"/>
    <x v="2"/>
    <x v="1"/>
    <x v="0"/>
    <x v="124"/>
    <x v="28"/>
    <x v="4"/>
    <x v="82"/>
    <x v="4"/>
    <x v="55"/>
    <x v="58"/>
    <x v="90"/>
    <x v="90"/>
    <x v="3"/>
    <x v="23"/>
    <x v="79"/>
    <x v="65"/>
    <x v="45"/>
    <x v="59"/>
    <x v="8"/>
    <x v="23"/>
    <x v="24"/>
    <x v="24"/>
    <x v="36"/>
    <x v="16"/>
    <x v="4"/>
    <x v="0"/>
    <x v="7"/>
    <x v="18"/>
    <x v="35"/>
    <x v="33"/>
    <x v="1"/>
    <x v="36"/>
    <x v="110"/>
    <x v="123"/>
    <x v="50"/>
    <x v="56"/>
    <x v="1"/>
    <x v="4"/>
    <x v="7"/>
    <x v="27"/>
    <x v="0"/>
    <x v="21"/>
    <x v="24"/>
    <x v="24"/>
    <x v="6"/>
    <x v="0"/>
    <x v="1"/>
    <x v="4"/>
    <x v="75"/>
    <x v="56"/>
    <x v="0"/>
    <x v="0"/>
    <x v="0"/>
    <x v="1"/>
  </r>
  <r>
    <x v="0"/>
    <x v="0"/>
    <x v="1"/>
    <x v="30"/>
    <x v="8"/>
    <x v="2"/>
    <x v="0"/>
    <x v="0"/>
    <x v="125"/>
    <x v="54"/>
    <x v="52"/>
    <x v="86"/>
    <x v="4"/>
    <x v="79"/>
    <x v="84"/>
    <x v="81"/>
    <x v="81"/>
    <x v="1"/>
    <x v="4"/>
    <x v="35"/>
    <x v="104"/>
    <x v="64"/>
    <x v="94"/>
    <x v="8"/>
    <x v="70"/>
    <x v="55"/>
    <x v="51"/>
    <x v="36"/>
    <x v="17"/>
    <x v="4"/>
    <x v="0"/>
    <x v="7"/>
    <x v="18"/>
    <x v="35"/>
    <x v="33"/>
    <x v="1"/>
    <x v="36"/>
    <x v="110"/>
    <x v="123"/>
    <x v="50"/>
    <x v="56"/>
    <x v="1"/>
    <x v="4"/>
    <x v="7"/>
    <x v="27"/>
    <x v="0"/>
    <x v="21"/>
    <x v="35"/>
    <x v="35"/>
    <x v="6"/>
    <x v="0"/>
    <x v="3"/>
    <x v="4"/>
    <x v="86"/>
    <x v="10"/>
    <x v="0"/>
    <x v="0"/>
    <x v="0"/>
    <x v="1"/>
  </r>
  <r>
    <x v="0"/>
    <x v="0"/>
    <x v="1"/>
    <x v="3"/>
    <x v="4"/>
    <x v="2"/>
    <x v="1"/>
    <x v="0"/>
    <x v="126"/>
    <x v="47"/>
    <x v="33"/>
    <x v="94"/>
    <x v="5"/>
    <x v="55"/>
    <x v="58"/>
    <x v="49"/>
    <x v="49"/>
    <x v="3"/>
    <x v="1"/>
    <x v="27"/>
    <x v="54"/>
    <x v="57"/>
    <x v="84"/>
    <x v="8"/>
    <x v="36"/>
    <x v="24"/>
    <x v="24"/>
    <x v="36"/>
    <x v="30"/>
    <x v="5"/>
    <x v="0"/>
    <x v="7"/>
    <x v="18"/>
    <x v="35"/>
    <x v="33"/>
    <x v="1"/>
    <x v="30"/>
    <x v="54"/>
    <x v="93"/>
    <x v="50"/>
    <x v="56"/>
    <x v="1"/>
    <x v="2"/>
    <x v="0"/>
    <x v="19"/>
    <x v="2"/>
    <x v="21"/>
    <x v="24"/>
    <x v="24"/>
    <x v="6"/>
    <x v="0"/>
    <x v="0"/>
    <x v="0"/>
    <x v="109"/>
    <x v="38"/>
    <x v="0"/>
    <x v="0"/>
    <x v="0"/>
    <x v="1"/>
  </r>
  <r>
    <x v="0"/>
    <x v="0"/>
    <x v="1"/>
    <x v="49"/>
    <x v="4"/>
    <x v="2"/>
    <x v="1"/>
    <x v="0"/>
    <x v="127"/>
    <x v="47"/>
    <x v="33"/>
    <x v="94"/>
    <x v="5"/>
    <x v="55"/>
    <x v="58"/>
    <x v="49"/>
    <x v="49"/>
    <x v="3"/>
    <x v="10"/>
    <x v="51"/>
    <x v="44"/>
    <x v="76"/>
    <x v="84"/>
    <x v="8"/>
    <x v="36"/>
    <x v="24"/>
    <x v="24"/>
    <x v="36"/>
    <x v="30"/>
    <x v="5"/>
    <x v="0"/>
    <x v="7"/>
    <x v="18"/>
    <x v="35"/>
    <x v="33"/>
    <x v="1"/>
    <x v="30"/>
    <x v="54"/>
    <x v="80"/>
    <x v="50"/>
    <x v="56"/>
    <x v="1"/>
    <x v="4"/>
    <x v="2"/>
    <x v="18"/>
    <x v="2"/>
    <x v="21"/>
    <x v="24"/>
    <x v="24"/>
    <x v="6"/>
    <x v="0"/>
    <x v="0"/>
    <x v="0"/>
    <x v="42"/>
    <x v="35"/>
    <x v="0"/>
    <x v="0"/>
    <x v="0"/>
    <x v="1"/>
  </r>
  <r>
    <x v="0"/>
    <x v="0"/>
    <x v="1"/>
    <x v="20"/>
    <x v="8"/>
    <x v="2"/>
    <x v="1"/>
    <x v="0"/>
    <x v="128"/>
    <x v="31"/>
    <x v="11"/>
    <x v="90"/>
    <x v="5"/>
    <x v="48"/>
    <x v="51"/>
    <x v="92"/>
    <x v="92"/>
    <x v="3"/>
    <x v="23"/>
    <x v="56"/>
    <x v="49"/>
    <x v="37"/>
    <x v="68"/>
    <x v="8"/>
    <x v="26"/>
    <x v="16"/>
    <x v="16"/>
    <x v="36"/>
    <x v="28"/>
    <x v="5"/>
    <x v="0"/>
    <x v="1"/>
    <x v="8"/>
    <x v="0"/>
    <x v="17"/>
    <x v="1"/>
    <x v="31"/>
    <x v="51"/>
    <x v="78"/>
    <x v="50"/>
    <x v="56"/>
    <x v="1"/>
    <x v="4"/>
    <x v="2"/>
    <x v="18"/>
    <x v="2"/>
    <x v="21"/>
    <x v="22"/>
    <x v="22"/>
    <x v="6"/>
    <x v="0"/>
    <x v="3"/>
    <x v="1"/>
    <x v="58"/>
    <x v="43"/>
    <x v="0"/>
    <x v="0"/>
    <x v="0"/>
    <x v="1"/>
  </r>
  <r>
    <x v="0"/>
    <x v="0"/>
    <x v="1"/>
    <x v="41"/>
    <x v="8"/>
    <x v="2"/>
    <x v="1"/>
    <x v="0"/>
    <x v="129"/>
    <x v="65"/>
    <x v="8"/>
    <x v="89"/>
    <x v="5"/>
    <x v="46"/>
    <x v="49"/>
    <x v="89"/>
    <x v="89"/>
    <x v="3"/>
    <x v="23"/>
    <x v="56"/>
    <x v="42"/>
    <x v="34"/>
    <x v="63"/>
    <x v="8"/>
    <x v="24"/>
    <x v="14"/>
    <x v="15"/>
    <x v="36"/>
    <x v="28"/>
    <x v="5"/>
    <x v="0"/>
    <x v="7"/>
    <x v="6"/>
    <x v="0"/>
    <x v="15"/>
    <x v="1"/>
    <x v="19"/>
    <x v="52"/>
    <x v="123"/>
    <x v="12"/>
    <x v="43"/>
    <x v="1"/>
    <x v="2"/>
    <x v="0"/>
    <x v="0"/>
    <x v="2"/>
    <x v="21"/>
    <x v="22"/>
    <x v="22"/>
    <x v="6"/>
    <x v="0"/>
    <x v="4"/>
    <x v="4"/>
    <x v="1"/>
    <x v="19"/>
    <x v="0"/>
    <x v="0"/>
    <x v="0"/>
    <x v="1"/>
  </r>
  <r>
    <x v="0"/>
    <x v="0"/>
    <x v="1"/>
    <x v="47"/>
    <x v="8"/>
    <x v="2"/>
    <x v="1"/>
    <x v="0"/>
    <x v="130"/>
    <x v="69"/>
    <x v="14"/>
    <x v="92"/>
    <x v="5"/>
    <x v="50"/>
    <x v="53"/>
    <x v="100"/>
    <x v="100"/>
    <x v="3"/>
    <x v="23"/>
    <x v="56"/>
    <x v="42"/>
    <x v="49"/>
    <x v="75"/>
    <x v="8"/>
    <x v="31"/>
    <x v="19"/>
    <x v="18"/>
    <x v="36"/>
    <x v="28"/>
    <x v="5"/>
    <x v="0"/>
    <x v="7"/>
    <x v="7"/>
    <x v="0"/>
    <x v="20"/>
    <x v="1"/>
    <x v="29"/>
    <x v="110"/>
    <x v="82"/>
    <x v="50"/>
    <x v="56"/>
    <x v="1"/>
    <x v="4"/>
    <x v="4"/>
    <x v="5"/>
    <x v="2"/>
    <x v="21"/>
    <x v="23"/>
    <x v="23"/>
    <x v="6"/>
    <x v="0"/>
    <x v="1"/>
    <x v="1"/>
    <x v="5"/>
    <x v="21"/>
    <x v="0"/>
    <x v="0"/>
    <x v="0"/>
    <x v="1"/>
  </r>
  <r>
    <x v="0"/>
    <x v="0"/>
    <x v="1"/>
    <x v="52"/>
    <x v="8"/>
    <x v="2"/>
    <x v="1"/>
    <x v="0"/>
    <x v="131"/>
    <x v="7"/>
    <x v="51"/>
    <x v="93"/>
    <x v="5"/>
    <x v="64"/>
    <x v="69"/>
    <x v="110"/>
    <x v="110"/>
    <x v="3"/>
    <x v="23"/>
    <x v="77"/>
    <x v="82"/>
    <x v="76"/>
    <x v="90"/>
    <x v="8"/>
    <x v="51"/>
    <x v="33"/>
    <x v="32"/>
    <x v="36"/>
    <x v="29"/>
    <x v="5"/>
    <x v="0"/>
    <x v="7"/>
    <x v="18"/>
    <x v="0"/>
    <x v="27"/>
    <x v="1"/>
    <x v="36"/>
    <x v="53"/>
    <x v="87"/>
    <x v="50"/>
    <x v="56"/>
    <x v="1"/>
    <x v="4"/>
    <x v="2"/>
    <x v="18"/>
    <x v="2"/>
    <x v="21"/>
    <x v="25"/>
    <x v="25"/>
    <x v="6"/>
    <x v="0"/>
    <x v="2"/>
    <x v="1"/>
    <x v="35"/>
    <x v="27"/>
    <x v="0"/>
    <x v="0"/>
    <x v="0"/>
    <x v="1"/>
  </r>
  <r>
    <x v="0"/>
    <x v="0"/>
    <x v="0"/>
    <x v="13"/>
    <x v="11"/>
    <x v="2"/>
    <x v="4"/>
    <x v="0"/>
    <x v="132"/>
    <x v="10"/>
    <x v="13"/>
    <x v="91"/>
    <x v="5"/>
    <x v="48"/>
    <x v="51"/>
    <x v="93"/>
    <x v="93"/>
    <x v="3"/>
    <x v="10"/>
    <x v="87"/>
    <x v="49"/>
    <x v="6"/>
    <x v="68"/>
    <x v="8"/>
    <x v="26"/>
    <x v="16"/>
    <x v="16"/>
    <x v="36"/>
    <x v="28"/>
    <x v="5"/>
    <x v="0"/>
    <x v="1"/>
    <x v="5"/>
    <x v="0"/>
    <x v="17"/>
    <x v="1"/>
    <x v="36"/>
    <x v="50"/>
    <x v="61"/>
    <x v="50"/>
    <x v="56"/>
    <x v="1"/>
    <x v="1"/>
    <x v="0"/>
    <x v="1"/>
    <x v="2"/>
    <x v="21"/>
    <x v="22"/>
    <x v="22"/>
    <x v="6"/>
    <x v="0"/>
    <x v="3"/>
    <x v="2"/>
    <x v="114"/>
    <x v="30"/>
    <x v="0"/>
    <x v="0"/>
    <x v="0"/>
    <x v="1"/>
  </r>
  <r>
    <x v="0"/>
    <x v="0"/>
    <x v="1"/>
    <x v="48"/>
    <x v="8"/>
    <x v="2"/>
    <x v="1"/>
    <x v="0"/>
    <x v="137"/>
    <x v="69"/>
    <x v="14"/>
    <x v="98"/>
    <x v="6"/>
    <x v="48"/>
    <x v="51"/>
    <x v="46"/>
    <x v="46"/>
    <x v="3"/>
    <x v="1"/>
    <x v="27"/>
    <x v="31"/>
    <x v="17"/>
    <x v="46"/>
    <x v="8"/>
    <x v="42"/>
    <x v="16"/>
    <x v="34"/>
    <x v="36"/>
    <x v="37"/>
    <x v="6"/>
    <x v="0"/>
    <x v="7"/>
    <x v="11"/>
    <x v="0"/>
    <x v="26"/>
    <x v="1"/>
    <x v="24"/>
    <x v="63"/>
    <x v="85"/>
    <x v="7"/>
    <x v="13"/>
    <x v="1"/>
    <x v="4"/>
    <x v="4"/>
    <x v="5"/>
    <x v="2"/>
    <x v="7"/>
    <x v="22"/>
    <x v="41"/>
    <x v="2"/>
    <x v="1"/>
    <x v="5"/>
    <x v="5"/>
    <x v="121"/>
    <x v="58"/>
    <x v="1"/>
    <x v="0"/>
    <x v="0"/>
    <x v="1"/>
  </r>
  <r>
    <x v="0"/>
    <x v="0"/>
    <x v="1"/>
    <x v="30"/>
    <x v="8"/>
    <x v="2"/>
    <x v="1"/>
    <x v="2"/>
    <x v="144"/>
    <x v="71"/>
    <x v="42"/>
    <x v="107"/>
    <x v="6"/>
    <x v="55"/>
    <x v="58"/>
    <x v="105"/>
    <x v="105"/>
    <x v="1"/>
    <x v="9"/>
    <x v="44"/>
    <x v="88"/>
    <x v="76"/>
    <x v="59"/>
    <x v="8"/>
    <x v="83"/>
    <x v="24"/>
    <x v="42"/>
    <x v="35"/>
    <x v="37"/>
    <x v="6"/>
    <x v="0"/>
    <x v="7"/>
    <x v="10"/>
    <x v="0"/>
    <x v="30"/>
    <x v="1"/>
    <x v="24"/>
    <x v="60"/>
    <x v="100"/>
    <x v="50"/>
    <x v="56"/>
    <x v="1"/>
    <x v="4"/>
    <x v="4"/>
    <x v="3"/>
    <x v="2"/>
    <x v="14"/>
    <x v="24"/>
    <x v="41"/>
    <x v="4"/>
    <x v="1"/>
    <x v="5"/>
    <x v="5"/>
    <x v="121"/>
    <x v="58"/>
    <x v="1"/>
    <x v="0"/>
    <x v="0"/>
    <x v="1"/>
  </r>
  <r>
    <x v="0"/>
    <x v="0"/>
    <x v="1"/>
    <x v="20"/>
    <x v="8"/>
    <x v="2"/>
    <x v="1"/>
    <x v="1"/>
    <x v="133"/>
    <x v="31"/>
    <x v="11"/>
    <x v="101"/>
    <x v="6"/>
    <x v="55"/>
    <x v="58"/>
    <x v="49"/>
    <x v="49"/>
    <x v="3"/>
    <x v="1"/>
    <x v="27"/>
    <x v="62"/>
    <x v="31"/>
    <x v="59"/>
    <x v="8"/>
    <x v="69"/>
    <x v="24"/>
    <x v="42"/>
    <x v="24"/>
    <x v="37"/>
    <x v="6"/>
    <x v="0"/>
    <x v="7"/>
    <x v="11"/>
    <x v="21"/>
    <x v="0"/>
    <x v="1"/>
    <x v="24"/>
    <x v="69"/>
    <x v="60"/>
    <x v="50"/>
    <x v="56"/>
    <x v="1"/>
    <x v="4"/>
    <x v="4"/>
    <x v="3"/>
    <x v="2"/>
    <x v="11"/>
    <x v="24"/>
    <x v="41"/>
    <x v="4"/>
    <x v="1"/>
    <x v="5"/>
    <x v="5"/>
    <x v="121"/>
    <x v="58"/>
    <x v="1"/>
    <x v="0"/>
    <x v="0"/>
    <x v="1"/>
  </r>
  <r>
    <x v="0"/>
    <x v="0"/>
    <x v="1"/>
    <x v="20"/>
    <x v="8"/>
    <x v="2"/>
    <x v="1"/>
    <x v="1"/>
    <x v="134"/>
    <x v="75"/>
    <x v="21"/>
    <x v="97"/>
    <x v="6"/>
    <x v="48"/>
    <x v="51"/>
    <x v="46"/>
    <x v="46"/>
    <x v="3"/>
    <x v="1"/>
    <x v="27"/>
    <x v="31"/>
    <x v="17"/>
    <x v="46"/>
    <x v="8"/>
    <x v="42"/>
    <x v="16"/>
    <x v="34"/>
    <x v="12"/>
    <x v="35"/>
    <x v="6"/>
    <x v="0"/>
    <x v="7"/>
    <x v="18"/>
    <x v="10"/>
    <x v="0"/>
    <x v="1"/>
    <x v="36"/>
    <x v="68"/>
    <x v="108"/>
    <x v="50"/>
    <x v="56"/>
    <x v="1"/>
    <x v="4"/>
    <x v="2"/>
    <x v="18"/>
    <x v="2"/>
    <x v="16"/>
    <x v="22"/>
    <x v="41"/>
    <x v="2"/>
    <x v="1"/>
    <x v="5"/>
    <x v="5"/>
    <x v="121"/>
    <x v="58"/>
    <x v="1"/>
    <x v="0"/>
    <x v="0"/>
    <x v="1"/>
  </r>
  <r>
    <x v="0"/>
    <x v="0"/>
    <x v="1"/>
    <x v="33"/>
    <x v="9"/>
    <x v="2"/>
    <x v="1"/>
    <x v="0"/>
    <x v="135"/>
    <x v="19"/>
    <x v="19"/>
    <x v="95"/>
    <x v="6"/>
    <x v="44"/>
    <x v="46"/>
    <x v="44"/>
    <x v="44"/>
    <x v="3"/>
    <x v="1"/>
    <x v="27"/>
    <x v="30"/>
    <x v="13"/>
    <x v="44"/>
    <x v="8"/>
    <x v="34"/>
    <x v="10"/>
    <x v="30"/>
    <x v="11"/>
    <x v="35"/>
    <x v="6"/>
    <x v="0"/>
    <x v="7"/>
    <x v="12"/>
    <x v="0"/>
    <x v="13"/>
    <x v="1"/>
    <x v="24"/>
    <x v="71"/>
    <x v="70"/>
    <x v="17"/>
    <x v="36"/>
    <x v="1"/>
    <x v="1"/>
    <x v="0"/>
    <x v="16"/>
    <x v="2"/>
    <x v="18"/>
    <x v="21"/>
    <x v="41"/>
    <x v="1"/>
    <x v="1"/>
    <x v="5"/>
    <x v="5"/>
    <x v="121"/>
    <x v="58"/>
    <x v="1"/>
    <x v="0"/>
    <x v="0"/>
    <x v="1"/>
  </r>
  <r>
    <x v="0"/>
    <x v="0"/>
    <x v="1"/>
    <x v="40"/>
    <x v="8"/>
    <x v="2"/>
    <x v="1"/>
    <x v="0"/>
    <x v="136"/>
    <x v="13"/>
    <x v="6"/>
    <x v="102"/>
    <x v="6"/>
    <x v="55"/>
    <x v="58"/>
    <x v="49"/>
    <x v="49"/>
    <x v="3"/>
    <x v="1"/>
    <x v="27"/>
    <x v="66"/>
    <x v="31"/>
    <x v="85"/>
    <x v="8"/>
    <x v="69"/>
    <x v="24"/>
    <x v="42"/>
    <x v="26"/>
    <x v="35"/>
    <x v="6"/>
    <x v="0"/>
    <x v="7"/>
    <x v="12"/>
    <x v="0"/>
    <x v="21"/>
    <x v="1"/>
    <x v="24"/>
    <x v="66"/>
    <x v="86"/>
    <x v="30"/>
    <x v="11"/>
    <x v="1"/>
    <x v="4"/>
    <x v="2"/>
    <x v="18"/>
    <x v="2"/>
    <x v="3"/>
    <x v="24"/>
    <x v="41"/>
    <x v="4"/>
    <x v="1"/>
    <x v="5"/>
    <x v="5"/>
    <x v="121"/>
    <x v="58"/>
    <x v="1"/>
    <x v="0"/>
    <x v="0"/>
    <x v="1"/>
  </r>
  <r>
    <x v="0"/>
    <x v="0"/>
    <x v="1"/>
    <x v="48"/>
    <x v="8"/>
    <x v="2"/>
    <x v="1"/>
    <x v="2"/>
    <x v="138"/>
    <x v="69"/>
    <x v="14"/>
    <x v="99"/>
    <x v="6"/>
    <x v="50"/>
    <x v="53"/>
    <x v="47"/>
    <x v="47"/>
    <x v="3"/>
    <x v="1"/>
    <x v="27"/>
    <x v="57"/>
    <x v="25"/>
    <x v="76"/>
    <x v="8"/>
    <x v="60"/>
    <x v="19"/>
    <x v="37"/>
    <x v="36"/>
    <x v="36"/>
    <x v="6"/>
    <x v="0"/>
    <x v="7"/>
    <x v="18"/>
    <x v="35"/>
    <x v="33"/>
    <x v="1"/>
    <x v="23"/>
    <x v="63"/>
    <x v="85"/>
    <x v="22"/>
    <x v="41"/>
    <x v="1"/>
    <x v="4"/>
    <x v="4"/>
    <x v="5"/>
    <x v="2"/>
    <x v="7"/>
    <x v="23"/>
    <x v="41"/>
    <x v="3"/>
    <x v="1"/>
    <x v="5"/>
    <x v="5"/>
    <x v="121"/>
    <x v="58"/>
    <x v="1"/>
    <x v="0"/>
    <x v="0"/>
    <x v="1"/>
  </r>
  <r>
    <x v="0"/>
    <x v="0"/>
    <x v="1"/>
    <x v="50"/>
    <x v="7"/>
    <x v="2"/>
    <x v="6"/>
    <x v="1"/>
    <x v="139"/>
    <x v="15"/>
    <x v="35"/>
    <x v="103"/>
    <x v="6"/>
    <x v="55"/>
    <x v="58"/>
    <x v="49"/>
    <x v="49"/>
    <x v="3"/>
    <x v="1"/>
    <x v="27"/>
    <x v="66"/>
    <x v="31"/>
    <x v="85"/>
    <x v="8"/>
    <x v="69"/>
    <x v="24"/>
    <x v="42"/>
    <x v="26"/>
    <x v="35"/>
    <x v="6"/>
    <x v="0"/>
    <x v="7"/>
    <x v="10"/>
    <x v="0"/>
    <x v="21"/>
    <x v="1"/>
    <x v="23"/>
    <x v="69"/>
    <x v="60"/>
    <x v="15"/>
    <x v="50"/>
    <x v="0"/>
    <x v="4"/>
    <x v="2"/>
    <x v="18"/>
    <x v="2"/>
    <x v="15"/>
    <x v="24"/>
    <x v="41"/>
    <x v="4"/>
    <x v="1"/>
    <x v="5"/>
    <x v="5"/>
    <x v="121"/>
    <x v="58"/>
    <x v="1"/>
    <x v="0"/>
    <x v="0"/>
    <x v="1"/>
  </r>
  <r>
    <x v="0"/>
    <x v="0"/>
    <x v="1"/>
    <x v="52"/>
    <x v="8"/>
    <x v="2"/>
    <x v="1"/>
    <x v="0"/>
    <x v="140"/>
    <x v="22"/>
    <x v="16"/>
    <x v="104"/>
    <x v="6"/>
    <x v="55"/>
    <x v="58"/>
    <x v="49"/>
    <x v="49"/>
    <x v="3"/>
    <x v="1"/>
    <x v="27"/>
    <x v="66"/>
    <x v="31"/>
    <x v="85"/>
    <x v="8"/>
    <x v="69"/>
    <x v="24"/>
    <x v="42"/>
    <x v="26"/>
    <x v="37"/>
    <x v="6"/>
    <x v="0"/>
    <x v="7"/>
    <x v="13"/>
    <x v="0"/>
    <x v="21"/>
    <x v="1"/>
    <x v="24"/>
    <x v="57"/>
    <x v="84"/>
    <x v="27"/>
    <x v="8"/>
    <x v="1"/>
    <x v="4"/>
    <x v="0"/>
    <x v="13"/>
    <x v="2"/>
    <x v="13"/>
    <x v="24"/>
    <x v="41"/>
    <x v="4"/>
    <x v="1"/>
    <x v="5"/>
    <x v="5"/>
    <x v="121"/>
    <x v="58"/>
    <x v="1"/>
    <x v="0"/>
    <x v="0"/>
    <x v="1"/>
  </r>
  <r>
    <x v="0"/>
    <x v="0"/>
    <x v="1"/>
    <x v="53"/>
    <x v="10"/>
    <x v="2"/>
    <x v="1"/>
    <x v="0"/>
    <x v="141"/>
    <x v="48"/>
    <x v="32"/>
    <x v="96"/>
    <x v="6"/>
    <x v="44"/>
    <x v="46"/>
    <x v="44"/>
    <x v="44"/>
    <x v="3"/>
    <x v="1"/>
    <x v="27"/>
    <x v="30"/>
    <x v="13"/>
    <x v="61"/>
    <x v="8"/>
    <x v="29"/>
    <x v="10"/>
    <x v="30"/>
    <x v="11"/>
    <x v="35"/>
    <x v="6"/>
    <x v="0"/>
    <x v="7"/>
    <x v="12"/>
    <x v="0"/>
    <x v="13"/>
    <x v="1"/>
    <x v="24"/>
    <x v="61"/>
    <x v="76"/>
    <x v="36"/>
    <x v="38"/>
    <x v="1"/>
    <x v="4"/>
    <x v="2"/>
    <x v="18"/>
    <x v="2"/>
    <x v="17"/>
    <x v="21"/>
    <x v="41"/>
    <x v="1"/>
    <x v="1"/>
    <x v="5"/>
    <x v="5"/>
    <x v="121"/>
    <x v="58"/>
    <x v="1"/>
    <x v="0"/>
    <x v="0"/>
    <x v="1"/>
  </r>
  <r>
    <x v="0"/>
    <x v="0"/>
    <x v="0"/>
    <x v="1"/>
    <x v="11"/>
    <x v="2"/>
    <x v="6"/>
    <x v="0"/>
    <x v="142"/>
    <x v="1"/>
    <x v="37"/>
    <x v="105"/>
    <x v="6"/>
    <x v="55"/>
    <x v="58"/>
    <x v="105"/>
    <x v="105"/>
    <x v="3"/>
    <x v="14"/>
    <x v="83"/>
    <x v="93"/>
    <x v="54"/>
    <x v="85"/>
    <x v="8"/>
    <x v="52"/>
    <x v="24"/>
    <x v="42"/>
    <x v="35"/>
    <x v="34"/>
    <x v="6"/>
    <x v="0"/>
    <x v="7"/>
    <x v="13"/>
    <x v="0"/>
    <x v="30"/>
    <x v="1"/>
    <x v="24"/>
    <x v="58"/>
    <x v="92"/>
    <x v="50"/>
    <x v="56"/>
    <x v="1"/>
    <x v="4"/>
    <x v="2"/>
    <x v="18"/>
    <x v="2"/>
    <x v="9"/>
    <x v="24"/>
    <x v="41"/>
    <x v="4"/>
    <x v="1"/>
    <x v="5"/>
    <x v="5"/>
    <x v="121"/>
    <x v="58"/>
    <x v="1"/>
    <x v="0"/>
    <x v="0"/>
    <x v="1"/>
  </r>
  <r>
    <x v="0"/>
    <x v="0"/>
    <x v="1"/>
    <x v="20"/>
    <x v="8"/>
    <x v="2"/>
    <x v="1"/>
    <x v="1"/>
    <x v="143"/>
    <x v="75"/>
    <x v="21"/>
    <x v="106"/>
    <x v="6"/>
    <x v="55"/>
    <x v="58"/>
    <x v="105"/>
    <x v="105"/>
    <x v="3"/>
    <x v="5"/>
    <x v="37"/>
    <x v="93"/>
    <x v="54"/>
    <x v="85"/>
    <x v="8"/>
    <x v="52"/>
    <x v="24"/>
    <x v="42"/>
    <x v="33"/>
    <x v="37"/>
    <x v="6"/>
    <x v="0"/>
    <x v="5"/>
    <x v="15"/>
    <x v="32"/>
    <x v="0"/>
    <x v="1"/>
    <x v="20"/>
    <x v="67"/>
    <x v="104"/>
    <x v="50"/>
    <x v="56"/>
    <x v="1"/>
    <x v="4"/>
    <x v="2"/>
    <x v="18"/>
    <x v="2"/>
    <x v="21"/>
    <x v="24"/>
    <x v="41"/>
    <x v="4"/>
    <x v="1"/>
    <x v="5"/>
    <x v="5"/>
    <x v="121"/>
    <x v="58"/>
    <x v="1"/>
    <x v="0"/>
    <x v="0"/>
    <x v="1"/>
  </r>
  <r>
    <x v="0"/>
    <x v="0"/>
    <x v="1"/>
    <x v="32"/>
    <x v="15"/>
    <x v="2"/>
    <x v="1"/>
    <x v="0"/>
    <x v="145"/>
    <x v="29"/>
    <x v="4"/>
    <x v="108"/>
    <x v="6"/>
    <x v="55"/>
    <x v="58"/>
    <x v="105"/>
    <x v="105"/>
    <x v="1"/>
    <x v="14"/>
    <x v="49"/>
    <x v="93"/>
    <x v="54"/>
    <x v="85"/>
    <x v="8"/>
    <x v="52"/>
    <x v="24"/>
    <x v="42"/>
    <x v="35"/>
    <x v="34"/>
    <x v="6"/>
    <x v="0"/>
    <x v="7"/>
    <x v="13"/>
    <x v="0"/>
    <x v="30"/>
    <x v="1"/>
    <x v="21"/>
    <x v="70"/>
    <x v="34"/>
    <x v="50"/>
    <x v="56"/>
    <x v="1"/>
    <x v="4"/>
    <x v="4"/>
    <x v="5"/>
    <x v="2"/>
    <x v="5"/>
    <x v="24"/>
    <x v="41"/>
    <x v="4"/>
    <x v="1"/>
    <x v="5"/>
    <x v="5"/>
    <x v="121"/>
    <x v="58"/>
    <x v="1"/>
    <x v="0"/>
    <x v="0"/>
    <x v="1"/>
  </r>
  <r>
    <x v="0"/>
    <x v="0"/>
    <x v="1"/>
    <x v="41"/>
    <x v="8"/>
    <x v="2"/>
    <x v="1"/>
    <x v="0"/>
    <x v="146"/>
    <x v="65"/>
    <x v="8"/>
    <x v="109"/>
    <x v="6"/>
    <x v="55"/>
    <x v="58"/>
    <x v="105"/>
    <x v="105"/>
    <x v="1"/>
    <x v="14"/>
    <x v="52"/>
    <x v="93"/>
    <x v="54"/>
    <x v="85"/>
    <x v="8"/>
    <x v="52"/>
    <x v="24"/>
    <x v="42"/>
    <x v="33"/>
    <x v="33"/>
    <x v="6"/>
    <x v="0"/>
    <x v="5"/>
    <x v="14"/>
    <x v="32"/>
    <x v="0"/>
    <x v="1"/>
    <x v="26"/>
    <x v="56"/>
    <x v="113"/>
    <x v="12"/>
    <x v="34"/>
    <x v="1"/>
    <x v="4"/>
    <x v="2"/>
    <x v="18"/>
    <x v="2"/>
    <x v="2"/>
    <x v="24"/>
    <x v="41"/>
    <x v="4"/>
    <x v="1"/>
    <x v="5"/>
    <x v="5"/>
    <x v="121"/>
    <x v="58"/>
    <x v="1"/>
    <x v="0"/>
    <x v="0"/>
    <x v="1"/>
  </r>
  <r>
    <x v="0"/>
    <x v="0"/>
    <x v="1"/>
    <x v="43"/>
    <x v="1"/>
    <x v="2"/>
    <x v="1"/>
    <x v="0"/>
    <x v="147"/>
    <x v="52"/>
    <x v="25"/>
    <x v="110"/>
    <x v="6"/>
    <x v="55"/>
    <x v="58"/>
    <x v="105"/>
    <x v="105"/>
    <x v="1"/>
    <x v="14"/>
    <x v="47"/>
    <x v="93"/>
    <x v="54"/>
    <x v="85"/>
    <x v="8"/>
    <x v="52"/>
    <x v="24"/>
    <x v="42"/>
    <x v="35"/>
    <x v="32"/>
    <x v="6"/>
    <x v="0"/>
    <x v="7"/>
    <x v="18"/>
    <x v="0"/>
    <x v="30"/>
    <x v="1"/>
    <x v="23"/>
    <x v="59"/>
    <x v="50"/>
    <x v="50"/>
    <x v="56"/>
    <x v="1"/>
    <x v="4"/>
    <x v="0"/>
    <x v="8"/>
    <x v="2"/>
    <x v="1"/>
    <x v="24"/>
    <x v="41"/>
    <x v="4"/>
    <x v="1"/>
    <x v="5"/>
    <x v="5"/>
    <x v="121"/>
    <x v="58"/>
    <x v="1"/>
    <x v="0"/>
    <x v="0"/>
    <x v="1"/>
  </r>
  <r>
    <x v="0"/>
    <x v="0"/>
    <x v="1"/>
    <x v="48"/>
    <x v="8"/>
    <x v="2"/>
    <x v="1"/>
    <x v="1"/>
    <x v="148"/>
    <x v="69"/>
    <x v="14"/>
    <x v="111"/>
    <x v="6"/>
    <x v="55"/>
    <x v="58"/>
    <x v="105"/>
    <x v="105"/>
    <x v="1"/>
    <x v="14"/>
    <x v="52"/>
    <x v="93"/>
    <x v="54"/>
    <x v="85"/>
    <x v="8"/>
    <x v="52"/>
    <x v="24"/>
    <x v="42"/>
    <x v="33"/>
    <x v="37"/>
    <x v="6"/>
    <x v="0"/>
    <x v="7"/>
    <x v="18"/>
    <x v="32"/>
    <x v="0"/>
    <x v="1"/>
    <x v="24"/>
    <x v="64"/>
    <x v="58"/>
    <x v="25"/>
    <x v="7"/>
    <x v="1"/>
    <x v="4"/>
    <x v="2"/>
    <x v="18"/>
    <x v="2"/>
    <x v="6"/>
    <x v="24"/>
    <x v="41"/>
    <x v="4"/>
    <x v="1"/>
    <x v="5"/>
    <x v="5"/>
    <x v="121"/>
    <x v="58"/>
    <x v="1"/>
    <x v="0"/>
    <x v="0"/>
    <x v="1"/>
  </r>
  <r>
    <x v="0"/>
    <x v="0"/>
    <x v="1"/>
    <x v="52"/>
    <x v="8"/>
    <x v="2"/>
    <x v="1"/>
    <x v="0"/>
    <x v="149"/>
    <x v="23"/>
    <x v="5"/>
    <x v="112"/>
    <x v="6"/>
    <x v="55"/>
    <x v="58"/>
    <x v="105"/>
    <x v="105"/>
    <x v="1"/>
    <x v="14"/>
    <x v="52"/>
    <x v="93"/>
    <x v="54"/>
    <x v="85"/>
    <x v="8"/>
    <x v="52"/>
    <x v="24"/>
    <x v="42"/>
    <x v="33"/>
    <x v="33"/>
    <x v="6"/>
    <x v="0"/>
    <x v="5"/>
    <x v="14"/>
    <x v="32"/>
    <x v="0"/>
    <x v="1"/>
    <x v="22"/>
    <x v="58"/>
    <x v="110"/>
    <x v="50"/>
    <x v="56"/>
    <x v="1"/>
    <x v="1"/>
    <x v="0"/>
    <x v="7"/>
    <x v="2"/>
    <x v="10"/>
    <x v="24"/>
    <x v="41"/>
    <x v="4"/>
    <x v="1"/>
    <x v="5"/>
    <x v="5"/>
    <x v="121"/>
    <x v="58"/>
    <x v="1"/>
    <x v="0"/>
    <x v="0"/>
    <x v="1"/>
  </r>
  <r>
    <x v="0"/>
    <x v="0"/>
    <x v="1"/>
    <x v="52"/>
    <x v="8"/>
    <x v="2"/>
    <x v="1"/>
    <x v="0"/>
    <x v="150"/>
    <x v="7"/>
    <x v="51"/>
    <x v="113"/>
    <x v="6"/>
    <x v="55"/>
    <x v="58"/>
    <x v="106"/>
    <x v="106"/>
    <x v="1"/>
    <x v="14"/>
    <x v="52"/>
    <x v="93"/>
    <x v="54"/>
    <x v="85"/>
    <x v="8"/>
    <x v="52"/>
    <x v="24"/>
    <x v="42"/>
    <x v="35"/>
    <x v="35"/>
    <x v="6"/>
    <x v="0"/>
    <x v="5"/>
    <x v="17"/>
    <x v="32"/>
    <x v="0"/>
    <x v="1"/>
    <x v="22"/>
    <x v="55"/>
    <x v="111"/>
    <x v="50"/>
    <x v="56"/>
    <x v="1"/>
    <x v="4"/>
    <x v="4"/>
    <x v="6"/>
    <x v="2"/>
    <x v="8"/>
    <x v="24"/>
    <x v="41"/>
    <x v="4"/>
    <x v="1"/>
    <x v="5"/>
    <x v="5"/>
    <x v="121"/>
    <x v="58"/>
    <x v="1"/>
    <x v="0"/>
    <x v="0"/>
    <x v="1"/>
  </r>
  <r>
    <x v="0"/>
    <x v="0"/>
    <x v="1"/>
    <x v="54"/>
    <x v="7"/>
    <x v="2"/>
    <x v="6"/>
    <x v="0"/>
    <x v="151"/>
    <x v="3"/>
    <x v="1"/>
    <x v="114"/>
    <x v="6"/>
    <x v="55"/>
    <x v="58"/>
    <x v="105"/>
    <x v="105"/>
    <x v="1"/>
    <x v="14"/>
    <x v="49"/>
    <x v="93"/>
    <x v="54"/>
    <x v="85"/>
    <x v="8"/>
    <x v="52"/>
    <x v="24"/>
    <x v="42"/>
    <x v="35"/>
    <x v="35"/>
    <x v="6"/>
    <x v="0"/>
    <x v="7"/>
    <x v="13"/>
    <x v="0"/>
    <x v="30"/>
    <x v="1"/>
    <x v="25"/>
    <x v="62"/>
    <x v="98"/>
    <x v="50"/>
    <x v="56"/>
    <x v="1"/>
    <x v="4"/>
    <x v="2"/>
    <x v="18"/>
    <x v="2"/>
    <x v="0"/>
    <x v="24"/>
    <x v="41"/>
    <x v="4"/>
    <x v="1"/>
    <x v="5"/>
    <x v="5"/>
    <x v="121"/>
    <x v="58"/>
    <x v="1"/>
    <x v="0"/>
    <x v="0"/>
    <x v="1"/>
  </r>
  <r>
    <x v="0"/>
    <x v="0"/>
    <x v="1"/>
    <x v="33"/>
    <x v="9"/>
    <x v="2"/>
    <x v="1"/>
    <x v="0"/>
    <x v="152"/>
    <x v="19"/>
    <x v="19"/>
    <x v="115"/>
    <x v="6"/>
    <x v="55"/>
    <x v="58"/>
    <x v="105"/>
    <x v="105"/>
    <x v="3"/>
    <x v="21"/>
    <x v="71"/>
    <x v="92"/>
    <x v="70"/>
    <x v="85"/>
    <x v="8"/>
    <x v="52"/>
    <x v="24"/>
    <x v="42"/>
    <x v="34"/>
    <x v="38"/>
    <x v="6"/>
    <x v="0"/>
    <x v="7"/>
    <x v="13"/>
    <x v="0"/>
    <x v="28"/>
    <x v="1"/>
    <x v="24"/>
    <x v="65"/>
    <x v="62"/>
    <x v="11"/>
    <x v="12"/>
    <x v="1"/>
    <x v="1"/>
    <x v="0"/>
    <x v="10"/>
    <x v="2"/>
    <x v="4"/>
    <x v="24"/>
    <x v="41"/>
    <x v="4"/>
    <x v="1"/>
    <x v="5"/>
    <x v="5"/>
    <x v="121"/>
    <x v="58"/>
    <x v="1"/>
    <x v="0"/>
    <x v="0"/>
    <x v="1"/>
  </r>
  <r>
    <x v="0"/>
    <x v="0"/>
    <x v="1"/>
    <x v="57"/>
    <x v="8"/>
    <x v="2"/>
    <x v="1"/>
    <x v="0"/>
    <x v="153"/>
    <x v="63"/>
    <x v="18"/>
    <x v="100"/>
    <x v="6"/>
    <x v="50"/>
    <x v="53"/>
    <x v="62"/>
    <x v="62"/>
    <x v="3"/>
    <x v="22"/>
    <x v="29"/>
    <x v="78"/>
    <x v="47"/>
    <x v="76"/>
    <x v="8"/>
    <x v="39"/>
    <x v="19"/>
    <x v="37"/>
    <x v="36"/>
    <x v="46"/>
    <x v="12"/>
    <x v="0"/>
    <x v="7"/>
    <x v="18"/>
    <x v="35"/>
    <x v="33"/>
    <x v="1"/>
    <x v="36"/>
    <x v="110"/>
    <x v="66"/>
    <x v="50"/>
    <x v="56"/>
    <x v="1"/>
    <x v="4"/>
    <x v="7"/>
    <x v="27"/>
    <x v="1"/>
    <x v="12"/>
    <x v="23"/>
    <x v="41"/>
    <x v="3"/>
    <x v="1"/>
    <x v="5"/>
    <x v="5"/>
    <x v="121"/>
    <x v="58"/>
    <x v="1"/>
    <x v="0"/>
    <x v="0"/>
    <x v="1"/>
  </r>
  <r>
    <x v="0"/>
    <x v="0"/>
    <x v="1"/>
    <x v="20"/>
    <x v="8"/>
    <x v="2"/>
    <x v="1"/>
    <x v="1"/>
    <x v="154"/>
    <x v="31"/>
    <x v="11"/>
    <x v="131"/>
    <x v="7"/>
    <x v="63"/>
    <x v="68"/>
    <x v="99"/>
    <x v="99"/>
    <x v="3"/>
    <x v="23"/>
    <x v="56"/>
    <x v="80"/>
    <x v="48"/>
    <x v="87"/>
    <x v="8"/>
    <x v="75"/>
    <x v="40"/>
    <x v="46"/>
    <x v="29"/>
    <x v="41"/>
    <x v="7"/>
    <x v="0"/>
    <x v="3"/>
    <x v="15"/>
    <x v="27"/>
    <x v="0"/>
    <x v="0"/>
    <x v="27"/>
    <x v="79"/>
    <x v="112"/>
    <x v="50"/>
    <x v="56"/>
    <x v="1"/>
    <x v="4"/>
    <x v="2"/>
    <x v="18"/>
    <x v="2"/>
    <x v="21"/>
    <x v="25"/>
    <x v="41"/>
    <x v="5"/>
    <x v="1"/>
    <x v="5"/>
    <x v="5"/>
    <x v="121"/>
    <x v="58"/>
    <x v="1"/>
    <x v="0"/>
    <x v="0"/>
    <x v="1"/>
  </r>
  <r>
    <x v="0"/>
    <x v="0"/>
    <x v="1"/>
    <x v="46"/>
    <x v="4"/>
    <x v="2"/>
    <x v="1"/>
    <x v="1"/>
    <x v="155"/>
    <x v="66"/>
    <x v="15"/>
    <x v="127"/>
    <x v="7"/>
    <x v="63"/>
    <x v="68"/>
    <x v="99"/>
    <x v="99"/>
    <x v="3"/>
    <x v="23"/>
    <x v="56"/>
    <x v="80"/>
    <x v="48"/>
    <x v="87"/>
    <x v="8"/>
    <x v="75"/>
    <x v="40"/>
    <x v="46"/>
    <x v="29"/>
    <x v="40"/>
    <x v="7"/>
    <x v="0"/>
    <x v="3"/>
    <x v="14"/>
    <x v="27"/>
    <x v="0"/>
    <x v="0"/>
    <x v="36"/>
    <x v="80"/>
    <x v="68"/>
    <x v="20"/>
    <x v="29"/>
    <x v="1"/>
    <x v="4"/>
    <x v="2"/>
    <x v="18"/>
    <x v="2"/>
    <x v="21"/>
    <x v="25"/>
    <x v="41"/>
    <x v="5"/>
    <x v="1"/>
    <x v="5"/>
    <x v="5"/>
    <x v="121"/>
    <x v="58"/>
    <x v="1"/>
    <x v="0"/>
    <x v="0"/>
    <x v="1"/>
  </r>
  <r>
    <x v="0"/>
    <x v="0"/>
    <x v="1"/>
    <x v="54"/>
    <x v="7"/>
    <x v="2"/>
    <x v="1"/>
    <x v="0"/>
    <x v="156"/>
    <x v="3"/>
    <x v="3"/>
    <x v="128"/>
    <x v="7"/>
    <x v="63"/>
    <x v="68"/>
    <x v="99"/>
    <x v="99"/>
    <x v="3"/>
    <x v="23"/>
    <x v="69"/>
    <x v="80"/>
    <x v="48"/>
    <x v="87"/>
    <x v="8"/>
    <x v="75"/>
    <x v="40"/>
    <x v="46"/>
    <x v="29"/>
    <x v="40"/>
    <x v="7"/>
    <x v="0"/>
    <x v="3"/>
    <x v="15"/>
    <x v="27"/>
    <x v="0"/>
    <x v="0"/>
    <x v="28"/>
    <x v="78"/>
    <x v="107"/>
    <x v="50"/>
    <x v="56"/>
    <x v="1"/>
    <x v="4"/>
    <x v="2"/>
    <x v="18"/>
    <x v="2"/>
    <x v="21"/>
    <x v="25"/>
    <x v="41"/>
    <x v="5"/>
    <x v="1"/>
    <x v="5"/>
    <x v="5"/>
    <x v="121"/>
    <x v="58"/>
    <x v="1"/>
    <x v="0"/>
    <x v="0"/>
    <x v="1"/>
  </r>
  <r>
    <x v="0"/>
    <x v="0"/>
    <x v="1"/>
    <x v="18"/>
    <x v="8"/>
    <x v="2"/>
    <x v="1"/>
    <x v="0"/>
    <x v="157"/>
    <x v="26"/>
    <x v="45"/>
    <x v="119"/>
    <x v="7"/>
    <x v="55"/>
    <x v="58"/>
    <x v="90"/>
    <x v="90"/>
    <x v="1"/>
    <x v="14"/>
    <x v="17"/>
    <x v="86"/>
    <x v="61"/>
    <x v="92"/>
    <x v="8"/>
    <x v="80"/>
    <x v="37"/>
    <x v="42"/>
    <x v="32"/>
    <x v="40"/>
    <x v="7"/>
    <x v="0"/>
    <x v="4"/>
    <x v="14"/>
    <x v="31"/>
    <x v="0"/>
    <x v="0"/>
    <x v="27"/>
    <x v="73"/>
    <x v="72"/>
    <x v="50"/>
    <x v="56"/>
    <x v="1"/>
    <x v="4"/>
    <x v="2"/>
    <x v="18"/>
    <x v="2"/>
    <x v="21"/>
    <x v="24"/>
    <x v="41"/>
    <x v="4"/>
    <x v="1"/>
    <x v="5"/>
    <x v="5"/>
    <x v="121"/>
    <x v="58"/>
    <x v="1"/>
    <x v="0"/>
    <x v="0"/>
    <x v="1"/>
  </r>
  <r>
    <x v="0"/>
    <x v="0"/>
    <x v="1"/>
    <x v="20"/>
    <x v="8"/>
    <x v="2"/>
    <x v="1"/>
    <x v="1"/>
    <x v="158"/>
    <x v="75"/>
    <x v="21"/>
    <x v="120"/>
    <x v="7"/>
    <x v="55"/>
    <x v="58"/>
    <x v="90"/>
    <x v="90"/>
    <x v="1"/>
    <x v="6"/>
    <x v="41"/>
    <x v="86"/>
    <x v="61"/>
    <x v="92"/>
    <x v="8"/>
    <x v="80"/>
    <x v="37"/>
    <x v="42"/>
    <x v="32"/>
    <x v="40"/>
    <x v="7"/>
    <x v="0"/>
    <x v="4"/>
    <x v="15"/>
    <x v="31"/>
    <x v="0"/>
    <x v="0"/>
    <x v="36"/>
    <x v="72"/>
    <x v="66"/>
    <x v="50"/>
    <x v="56"/>
    <x v="1"/>
    <x v="4"/>
    <x v="2"/>
    <x v="18"/>
    <x v="2"/>
    <x v="21"/>
    <x v="24"/>
    <x v="41"/>
    <x v="4"/>
    <x v="1"/>
    <x v="5"/>
    <x v="5"/>
    <x v="121"/>
    <x v="58"/>
    <x v="1"/>
    <x v="0"/>
    <x v="0"/>
    <x v="1"/>
  </r>
  <r>
    <x v="0"/>
    <x v="0"/>
    <x v="1"/>
    <x v="20"/>
    <x v="8"/>
    <x v="2"/>
    <x v="1"/>
    <x v="0"/>
    <x v="159"/>
    <x v="63"/>
    <x v="17"/>
    <x v="121"/>
    <x v="7"/>
    <x v="55"/>
    <x v="58"/>
    <x v="90"/>
    <x v="90"/>
    <x v="1"/>
    <x v="14"/>
    <x v="48"/>
    <x v="86"/>
    <x v="61"/>
    <x v="92"/>
    <x v="8"/>
    <x v="46"/>
    <x v="37"/>
    <x v="42"/>
    <x v="32"/>
    <x v="40"/>
    <x v="7"/>
    <x v="0"/>
    <x v="4"/>
    <x v="15"/>
    <x v="31"/>
    <x v="0"/>
    <x v="0"/>
    <x v="27"/>
    <x v="76"/>
    <x v="81"/>
    <x v="50"/>
    <x v="56"/>
    <x v="1"/>
    <x v="4"/>
    <x v="2"/>
    <x v="18"/>
    <x v="2"/>
    <x v="21"/>
    <x v="24"/>
    <x v="41"/>
    <x v="4"/>
    <x v="1"/>
    <x v="5"/>
    <x v="5"/>
    <x v="121"/>
    <x v="58"/>
    <x v="1"/>
    <x v="0"/>
    <x v="0"/>
    <x v="1"/>
  </r>
  <r>
    <x v="0"/>
    <x v="0"/>
    <x v="1"/>
    <x v="52"/>
    <x v="8"/>
    <x v="2"/>
    <x v="1"/>
    <x v="1"/>
    <x v="160"/>
    <x v="22"/>
    <x v="16"/>
    <x v="129"/>
    <x v="7"/>
    <x v="63"/>
    <x v="68"/>
    <x v="99"/>
    <x v="99"/>
    <x v="3"/>
    <x v="23"/>
    <x v="62"/>
    <x v="80"/>
    <x v="48"/>
    <x v="87"/>
    <x v="8"/>
    <x v="55"/>
    <x v="40"/>
    <x v="46"/>
    <x v="29"/>
    <x v="40"/>
    <x v="7"/>
    <x v="0"/>
    <x v="3"/>
    <x v="17"/>
    <x v="27"/>
    <x v="0"/>
    <x v="0"/>
    <x v="27"/>
    <x v="75"/>
    <x v="77"/>
    <x v="50"/>
    <x v="56"/>
    <x v="1"/>
    <x v="4"/>
    <x v="2"/>
    <x v="18"/>
    <x v="2"/>
    <x v="21"/>
    <x v="25"/>
    <x v="41"/>
    <x v="5"/>
    <x v="1"/>
    <x v="5"/>
    <x v="5"/>
    <x v="121"/>
    <x v="58"/>
    <x v="1"/>
    <x v="0"/>
    <x v="0"/>
    <x v="1"/>
  </r>
  <r>
    <x v="0"/>
    <x v="0"/>
    <x v="1"/>
    <x v="52"/>
    <x v="8"/>
    <x v="2"/>
    <x v="1"/>
    <x v="1"/>
    <x v="161"/>
    <x v="23"/>
    <x v="5"/>
    <x v="130"/>
    <x v="7"/>
    <x v="63"/>
    <x v="68"/>
    <x v="99"/>
    <x v="99"/>
    <x v="3"/>
    <x v="23"/>
    <x v="55"/>
    <x v="80"/>
    <x v="48"/>
    <x v="87"/>
    <x v="8"/>
    <x v="55"/>
    <x v="40"/>
    <x v="46"/>
    <x v="29"/>
    <x v="40"/>
    <x v="7"/>
    <x v="0"/>
    <x v="3"/>
    <x v="14"/>
    <x v="27"/>
    <x v="0"/>
    <x v="0"/>
    <x v="36"/>
    <x v="74"/>
    <x v="97"/>
    <x v="47"/>
    <x v="23"/>
    <x v="1"/>
    <x v="4"/>
    <x v="2"/>
    <x v="18"/>
    <x v="2"/>
    <x v="21"/>
    <x v="25"/>
    <x v="41"/>
    <x v="5"/>
    <x v="1"/>
    <x v="5"/>
    <x v="5"/>
    <x v="121"/>
    <x v="58"/>
    <x v="1"/>
    <x v="0"/>
    <x v="0"/>
    <x v="1"/>
  </r>
  <r>
    <x v="0"/>
    <x v="0"/>
    <x v="1"/>
    <x v="30"/>
    <x v="8"/>
    <x v="2"/>
    <x v="1"/>
    <x v="1"/>
    <x v="162"/>
    <x v="54"/>
    <x v="52"/>
    <x v="122"/>
    <x v="7"/>
    <x v="55"/>
    <x v="58"/>
    <x v="90"/>
    <x v="90"/>
    <x v="3"/>
    <x v="7"/>
    <x v="10"/>
    <x v="86"/>
    <x v="61"/>
    <x v="92"/>
    <x v="8"/>
    <x v="46"/>
    <x v="37"/>
    <x v="42"/>
    <x v="32"/>
    <x v="40"/>
    <x v="7"/>
    <x v="0"/>
    <x v="4"/>
    <x v="17"/>
    <x v="31"/>
    <x v="0"/>
    <x v="0"/>
    <x v="27"/>
    <x v="77"/>
    <x v="96"/>
    <x v="50"/>
    <x v="56"/>
    <x v="1"/>
    <x v="4"/>
    <x v="2"/>
    <x v="18"/>
    <x v="2"/>
    <x v="21"/>
    <x v="24"/>
    <x v="41"/>
    <x v="4"/>
    <x v="1"/>
    <x v="5"/>
    <x v="5"/>
    <x v="121"/>
    <x v="58"/>
    <x v="1"/>
    <x v="0"/>
    <x v="0"/>
    <x v="1"/>
  </r>
  <r>
    <x v="0"/>
    <x v="0"/>
    <x v="1"/>
    <x v="30"/>
    <x v="8"/>
    <x v="2"/>
    <x v="1"/>
    <x v="2"/>
    <x v="163"/>
    <x v="71"/>
    <x v="42"/>
    <x v="123"/>
    <x v="7"/>
    <x v="55"/>
    <x v="58"/>
    <x v="90"/>
    <x v="90"/>
    <x v="3"/>
    <x v="7"/>
    <x v="10"/>
    <x v="86"/>
    <x v="61"/>
    <x v="92"/>
    <x v="8"/>
    <x v="46"/>
    <x v="37"/>
    <x v="42"/>
    <x v="32"/>
    <x v="40"/>
    <x v="7"/>
    <x v="0"/>
    <x v="4"/>
    <x v="17"/>
    <x v="31"/>
    <x v="0"/>
    <x v="0"/>
    <x v="35"/>
    <x v="77"/>
    <x v="106"/>
    <x v="50"/>
    <x v="56"/>
    <x v="1"/>
    <x v="4"/>
    <x v="2"/>
    <x v="18"/>
    <x v="2"/>
    <x v="21"/>
    <x v="24"/>
    <x v="41"/>
    <x v="4"/>
    <x v="1"/>
    <x v="5"/>
    <x v="5"/>
    <x v="121"/>
    <x v="58"/>
    <x v="1"/>
    <x v="0"/>
    <x v="0"/>
    <x v="1"/>
  </r>
  <r>
    <x v="0"/>
    <x v="0"/>
    <x v="1"/>
    <x v="15"/>
    <x v="9"/>
    <x v="2"/>
    <x v="1"/>
    <x v="0"/>
    <x v="164"/>
    <x v="17"/>
    <x v="58"/>
    <x v="124"/>
    <x v="7"/>
    <x v="55"/>
    <x v="58"/>
    <x v="105"/>
    <x v="105"/>
    <x v="3"/>
    <x v="21"/>
    <x v="71"/>
    <x v="101"/>
    <x v="70"/>
    <x v="85"/>
    <x v="8"/>
    <x v="46"/>
    <x v="37"/>
    <x v="42"/>
    <x v="16"/>
    <x v="41"/>
    <x v="7"/>
    <x v="0"/>
    <x v="7"/>
    <x v="18"/>
    <x v="33"/>
    <x v="0"/>
    <x v="0"/>
    <x v="27"/>
    <x v="74"/>
    <x v="24"/>
    <x v="31"/>
    <x v="26"/>
    <x v="0"/>
    <x v="4"/>
    <x v="0"/>
    <x v="12"/>
    <x v="2"/>
    <x v="21"/>
    <x v="24"/>
    <x v="41"/>
    <x v="4"/>
    <x v="1"/>
    <x v="5"/>
    <x v="5"/>
    <x v="121"/>
    <x v="58"/>
    <x v="1"/>
    <x v="0"/>
    <x v="0"/>
    <x v="1"/>
  </r>
  <r>
    <x v="0"/>
    <x v="0"/>
    <x v="1"/>
    <x v="10"/>
    <x v="9"/>
    <x v="2"/>
    <x v="1"/>
    <x v="0"/>
    <x v="165"/>
    <x v="16"/>
    <x v="48"/>
    <x v="125"/>
    <x v="7"/>
    <x v="55"/>
    <x v="58"/>
    <x v="95"/>
    <x v="95"/>
    <x v="3"/>
    <x v="23"/>
    <x v="82"/>
    <x v="71"/>
    <x v="43"/>
    <x v="85"/>
    <x v="8"/>
    <x v="46"/>
    <x v="37"/>
    <x v="42"/>
    <x v="27"/>
    <x v="42"/>
    <x v="7"/>
    <x v="0"/>
    <x v="2"/>
    <x v="16"/>
    <x v="23"/>
    <x v="0"/>
    <x v="0"/>
    <x v="36"/>
    <x v="76"/>
    <x v="83"/>
    <x v="50"/>
    <x v="56"/>
    <x v="1"/>
    <x v="4"/>
    <x v="2"/>
    <x v="18"/>
    <x v="2"/>
    <x v="21"/>
    <x v="24"/>
    <x v="41"/>
    <x v="4"/>
    <x v="1"/>
    <x v="5"/>
    <x v="5"/>
    <x v="121"/>
    <x v="58"/>
    <x v="1"/>
    <x v="0"/>
    <x v="0"/>
    <x v="1"/>
  </r>
  <r>
    <x v="0"/>
    <x v="0"/>
    <x v="0"/>
    <x v="13"/>
    <x v="11"/>
    <x v="2"/>
    <x v="4"/>
    <x v="0"/>
    <x v="166"/>
    <x v="10"/>
    <x v="13"/>
    <x v="126"/>
    <x v="7"/>
    <x v="55"/>
    <x v="58"/>
    <x v="90"/>
    <x v="90"/>
    <x v="3"/>
    <x v="0"/>
    <x v="88"/>
    <x v="86"/>
    <x v="61"/>
    <x v="92"/>
    <x v="8"/>
    <x v="46"/>
    <x v="37"/>
    <x v="42"/>
    <x v="32"/>
    <x v="39"/>
    <x v="7"/>
    <x v="0"/>
    <x v="4"/>
    <x v="16"/>
    <x v="26"/>
    <x v="0"/>
    <x v="0"/>
    <x v="36"/>
    <x v="81"/>
    <x v="103"/>
    <x v="50"/>
    <x v="56"/>
    <x v="1"/>
    <x v="4"/>
    <x v="2"/>
    <x v="18"/>
    <x v="2"/>
    <x v="21"/>
    <x v="24"/>
    <x v="41"/>
    <x v="4"/>
    <x v="1"/>
    <x v="5"/>
    <x v="5"/>
    <x v="121"/>
    <x v="58"/>
    <x v="1"/>
    <x v="0"/>
    <x v="0"/>
    <x v="1"/>
  </r>
  <r>
    <x v="0"/>
    <x v="0"/>
    <x v="1"/>
    <x v="43"/>
    <x v="1"/>
    <x v="2"/>
    <x v="1"/>
    <x v="0"/>
    <x v="167"/>
    <x v="52"/>
    <x v="24"/>
    <x v="117"/>
    <x v="7"/>
    <x v="41"/>
    <x v="42"/>
    <x v="42"/>
    <x v="42"/>
    <x v="3"/>
    <x v="1"/>
    <x v="27"/>
    <x v="37"/>
    <x v="9"/>
    <x v="55"/>
    <x v="8"/>
    <x v="21"/>
    <x v="17"/>
    <x v="24"/>
    <x v="36"/>
    <x v="46"/>
    <x v="12"/>
    <x v="0"/>
    <x v="0"/>
    <x v="17"/>
    <x v="35"/>
    <x v="33"/>
    <x v="1"/>
    <x v="36"/>
    <x v="110"/>
    <x v="123"/>
    <x v="50"/>
    <x v="56"/>
    <x v="1"/>
    <x v="4"/>
    <x v="7"/>
    <x v="27"/>
    <x v="1"/>
    <x v="21"/>
    <x v="21"/>
    <x v="41"/>
    <x v="1"/>
    <x v="1"/>
    <x v="5"/>
    <x v="5"/>
    <x v="121"/>
    <x v="58"/>
    <x v="1"/>
    <x v="0"/>
    <x v="0"/>
    <x v="1"/>
  </r>
  <r>
    <x v="0"/>
    <x v="0"/>
    <x v="1"/>
    <x v="6"/>
    <x v="15"/>
    <x v="2"/>
    <x v="1"/>
    <x v="0"/>
    <x v="170"/>
    <x v="56"/>
    <x v="29"/>
    <x v="118"/>
    <x v="7"/>
    <x v="44"/>
    <x v="46"/>
    <x v="44"/>
    <x v="44"/>
    <x v="3"/>
    <x v="1"/>
    <x v="21"/>
    <x v="50"/>
    <x v="13"/>
    <x v="61"/>
    <x v="8"/>
    <x v="25"/>
    <x v="20"/>
    <x v="30"/>
    <x v="36"/>
    <x v="46"/>
    <x v="12"/>
    <x v="0"/>
    <x v="7"/>
    <x v="18"/>
    <x v="35"/>
    <x v="33"/>
    <x v="1"/>
    <x v="36"/>
    <x v="110"/>
    <x v="123"/>
    <x v="50"/>
    <x v="56"/>
    <x v="1"/>
    <x v="4"/>
    <x v="7"/>
    <x v="27"/>
    <x v="1"/>
    <x v="21"/>
    <x v="21"/>
    <x v="41"/>
    <x v="1"/>
    <x v="1"/>
    <x v="5"/>
    <x v="5"/>
    <x v="121"/>
    <x v="58"/>
    <x v="1"/>
    <x v="0"/>
    <x v="0"/>
    <x v="1"/>
  </r>
  <r>
    <x v="0"/>
    <x v="0"/>
    <x v="1"/>
    <x v="15"/>
    <x v="9"/>
    <x v="2"/>
    <x v="1"/>
    <x v="0"/>
    <x v="168"/>
    <x v="17"/>
    <x v="57"/>
    <x v="116"/>
    <x v="7"/>
    <x v="39"/>
    <x v="40"/>
    <x v="58"/>
    <x v="58"/>
    <x v="1"/>
    <x v="0"/>
    <x v="71"/>
    <x v="55"/>
    <x v="36"/>
    <x v="49"/>
    <x v="8"/>
    <x v="19"/>
    <x v="15"/>
    <x v="20"/>
    <x v="36"/>
    <x v="46"/>
    <x v="12"/>
    <x v="0"/>
    <x v="7"/>
    <x v="18"/>
    <x v="35"/>
    <x v="33"/>
    <x v="1"/>
    <x v="36"/>
    <x v="110"/>
    <x v="123"/>
    <x v="50"/>
    <x v="56"/>
    <x v="1"/>
    <x v="4"/>
    <x v="7"/>
    <x v="27"/>
    <x v="0"/>
    <x v="21"/>
    <x v="21"/>
    <x v="41"/>
    <x v="1"/>
    <x v="1"/>
    <x v="5"/>
    <x v="5"/>
    <x v="121"/>
    <x v="58"/>
    <x v="1"/>
    <x v="0"/>
    <x v="0"/>
    <x v="1"/>
  </r>
  <r>
    <x v="0"/>
    <x v="0"/>
    <x v="1"/>
    <x v="30"/>
    <x v="8"/>
    <x v="2"/>
    <x v="1"/>
    <x v="0"/>
    <x v="169"/>
    <x v="71"/>
    <x v="41"/>
    <x v="132"/>
    <x v="7"/>
    <x v="63"/>
    <x v="68"/>
    <x v="99"/>
    <x v="99"/>
    <x v="3"/>
    <x v="23"/>
    <x v="20"/>
    <x v="94"/>
    <x v="48"/>
    <x v="87"/>
    <x v="8"/>
    <x v="55"/>
    <x v="40"/>
    <x v="46"/>
    <x v="36"/>
    <x v="46"/>
    <x v="12"/>
    <x v="0"/>
    <x v="7"/>
    <x v="18"/>
    <x v="35"/>
    <x v="33"/>
    <x v="1"/>
    <x v="36"/>
    <x v="110"/>
    <x v="123"/>
    <x v="50"/>
    <x v="56"/>
    <x v="1"/>
    <x v="4"/>
    <x v="7"/>
    <x v="27"/>
    <x v="0"/>
    <x v="21"/>
    <x v="25"/>
    <x v="41"/>
    <x v="5"/>
    <x v="1"/>
    <x v="5"/>
    <x v="5"/>
    <x v="121"/>
    <x v="58"/>
    <x v="1"/>
    <x v="0"/>
    <x v="0"/>
    <x v="1"/>
  </r>
  <r>
    <x v="0"/>
    <x v="0"/>
    <x v="1"/>
    <x v="54"/>
    <x v="7"/>
    <x v="2"/>
    <x v="6"/>
    <x v="0"/>
    <x v="171"/>
    <x v="3"/>
    <x v="2"/>
    <x v="133"/>
    <x v="8"/>
    <x v="38"/>
    <x v="39"/>
    <x v="66"/>
    <x v="66"/>
    <x v="3"/>
    <x v="23"/>
    <x v="67"/>
    <x v="25"/>
    <x v="15"/>
    <x v="47"/>
    <x v="8"/>
    <x v="32"/>
    <x v="10"/>
    <x v="17"/>
    <x v="7"/>
    <x v="43"/>
    <x v="8"/>
    <x v="0"/>
    <x v="7"/>
    <x v="18"/>
    <x v="5"/>
    <x v="0"/>
    <x v="0"/>
    <x v="33"/>
    <x v="87"/>
    <x v="59"/>
    <x v="50"/>
    <x v="56"/>
    <x v="1"/>
    <x v="4"/>
    <x v="2"/>
    <x v="18"/>
    <x v="2"/>
    <x v="21"/>
    <x v="20"/>
    <x v="41"/>
    <x v="0"/>
    <x v="1"/>
    <x v="5"/>
    <x v="5"/>
    <x v="121"/>
    <x v="58"/>
    <x v="1"/>
    <x v="0"/>
    <x v="0"/>
    <x v="1"/>
  </r>
  <r>
    <x v="0"/>
    <x v="0"/>
    <x v="1"/>
    <x v="52"/>
    <x v="8"/>
    <x v="2"/>
    <x v="1"/>
    <x v="1"/>
    <x v="172"/>
    <x v="23"/>
    <x v="5"/>
    <x v="142"/>
    <x v="8"/>
    <x v="44"/>
    <x v="46"/>
    <x v="86"/>
    <x v="86"/>
    <x v="3"/>
    <x v="23"/>
    <x v="67"/>
    <x v="47"/>
    <x v="28"/>
    <x v="61"/>
    <x v="8"/>
    <x v="56"/>
    <x v="20"/>
    <x v="30"/>
    <x v="18"/>
    <x v="43"/>
    <x v="8"/>
    <x v="0"/>
    <x v="7"/>
    <x v="18"/>
    <x v="14"/>
    <x v="0"/>
    <x v="0"/>
    <x v="33"/>
    <x v="87"/>
    <x v="48"/>
    <x v="5"/>
    <x v="30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52"/>
    <x v="8"/>
    <x v="2"/>
    <x v="1"/>
    <x v="1"/>
    <x v="173"/>
    <x v="23"/>
    <x v="5"/>
    <x v="142"/>
    <x v="8"/>
    <x v="41"/>
    <x v="42"/>
    <x v="78"/>
    <x v="78"/>
    <x v="3"/>
    <x v="23"/>
    <x v="67"/>
    <x v="35"/>
    <x v="14"/>
    <x v="55"/>
    <x v="8"/>
    <x v="43"/>
    <x v="17"/>
    <x v="24"/>
    <x v="14"/>
    <x v="43"/>
    <x v="8"/>
    <x v="0"/>
    <x v="7"/>
    <x v="18"/>
    <x v="8"/>
    <x v="0"/>
    <x v="0"/>
    <x v="33"/>
    <x v="86"/>
    <x v="48"/>
    <x v="50"/>
    <x v="56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52"/>
    <x v="8"/>
    <x v="2"/>
    <x v="1"/>
    <x v="0"/>
    <x v="174"/>
    <x v="23"/>
    <x v="5"/>
    <x v="142"/>
    <x v="8"/>
    <x v="41"/>
    <x v="42"/>
    <x v="78"/>
    <x v="78"/>
    <x v="3"/>
    <x v="23"/>
    <x v="67"/>
    <x v="35"/>
    <x v="23"/>
    <x v="55"/>
    <x v="8"/>
    <x v="43"/>
    <x v="17"/>
    <x v="24"/>
    <x v="14"/>
    <x v="43"/>
    <x v="8"/>
    <x v="0"/>
    <x v="7"/>
    <x v="18"/>
    <x v="8"/>
    <x v="0"/>
    <x v="0"/>
    <x v="33"/>
    <x v="84"/>
    <x v="31"/>
    <x v="15"/>
    <x v="6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52"/>
    <x v="8"/>
    <x v="2"/>
    <x v="1"/>
    <x v="1"/>
    <x v="175"/>
    <x v="23"/>
    <x v="5"/>
    <x v="142"/>
    <x v="8"/>
    <x v="41"/>
    <x v="42"/>
    <x v="78"/>
    <x v="78"/>
    <x v="3"/>
    <x v="23"/>
    <x v="67"/>
    <x v="35"/>
    <x v="23"/>
    <x v="55"/>
    <x v="8"/>
    <x v="43"/>
    <x v="17"/>
    <x v="24"/>
    <x v="14"/>
    <x v="43"/>
    <x v="8"/>
    <x v="0"/>
    <x v="7"/>
    <x v="18"/>
    <x v="8"/>
    <x v="0"/>
    <x v="0"/>
    <x v="33"/>
    <x v="85"/>
    <x v="36"/>
    <x v="15"/>
    <x v="6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20"/>
    <x v="8"/>
    <x v="2"/>
    <x v="1"/>
    <x v="1"/>
    <x v="176"/>
    <x v="31"/>
    <x v="11"/>
    <x v="143"/>
    <x v="8"/>
    <x v="44"/>
    <x v="46"/>
    <x v="86"/>
    <x v="86"/>
    <x v="3"/>
    <x v="23"/>
    <x v="56"/>
    <x v="47"/>
    <x v="28"/>
    <x v="61"/>
    <x v="8"/>
    <x v="56"/>
    <x v="20"/>
    <x v="30"/>
    <x v="18"/>
    <x v="43"/>
    <x v="8"/>
    <x v="0"/>
    <x v="7"/>
    <x v="18"/>
    <x v="14"/>
    <x v="0"/>
    <x v="0"/>
    <x v="33"/>
    <x v="93"/>
    <x v="38"/>
    <x v="50"/>
    <x v="56"/>
    <x v="1"/>
    <x v="4"/>
    <x v="4"/>
    <x v="3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20"/>
    <x v="8"/>
    <x v="2"/>
    <x v="1"/>
    <x v="1"/>
    <x v="177"/>
    <x v="31"/>
    <x v="11"/>
    <x v="143"/>
    <x v="8"/>
    <x v="44"/>
    <x v="46"/>
    <x v="86"/>
    <x v="86"/>
    <x v="3"/>
    <x v="23"/>
    <x v="56"/>
    <x v="47"/>
    <x v="28"/>
    <x v="61"/>
    <x v="8"/>
    <x v="56"/>
    <x v="20"/>
    <x v="30"/>
    <x v="18"/>
    <x v="43"/>
    <x v="8"/>
    <x v="0"/>
    <x v="7"/>
    <x v="18"/>
    <x v="14"/>
    <x v="0"/>
    <x v="0"/>
    <x v="33"/>
    <x v="92"/>
    <x v="35"/>
    <x v="50"/>
    <x v="56"/>
    <x v="1"/>
    <x v="4"/>
    <x v="4"/>
    <x v="3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20"/>
    <x v="8"/>
    <x v="2"/>
    <x v="1"/>
    <x v="1"/>
    <x v="178"/>
    <x v="31"/>
    <x v="11"/>
    <x v="143"/>
    <x v="8"/>
    <x v="44"/>
    <x v="46"/>
    <x v="86"/>
    <x v="86"/>
    <x v="3"/>
    <x v="23"/>
    <x v="56"/>
    <x v="47"/>
    <x v="28"/>
    <x v="61"/>
    <x v="8"/>
    <x v="56"/>
    <x v="20"/>
    <x v="30"/>
    <x v="18"/>
    <x v="43"/>
    <x v="8"/>
    <x v="0"/>
    <x v="7"/>
    <x v="18"/>
    <x v="14"/>
    <x v="0"/>
    <x v="0"/>
    <x v="33"/>
    <x v="93"/>
    <x v="44"/>
    <x v="50"/>
    <x v="56"/>
    <x v="1"/>
    <x v="4"/>
    <x v="4"/>
    <x v="3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20"/>
    <x v="8"/>
    <x v="2"/>
    <x v="1"/>
    <x v="1"/>
    <x v="179"/>
    <x v="31"/>
    <x v="11"/>
    <x v="143"/>
    <x v="8"/>
    <x v="44"/>
    <x v="46"/>
    <x v="86"/>
    <x v="86"/>
    <x v="3"/>
    <x v="23"/>
    <x v="56"/>
    <x v="47"/>
    <x v="28"/>
    <x v="61"/>
    <x v="8"/>
    <x v="56"/>
    <x v="20"/>
    <x v="30"/>
    <x v="18"/>
    <x v="43"/>
    <x v="8"/>
    <x v="0"/>
    <x v="7"/>
    <x v="18"/>
    <x v="14"/>
    <x v="0"/>
    <x v="0"/>
    <x v="33"/>
    <x v="93"/>
    <x v="29"/>
    <x v="50"/>
    <x v="56"/>
    <x v="1"/>
    <x v="4"/>
    <x v="4"/>
    <x v="3"/>
    <x v="2"/>
    <x v="21"/>
    <x v="21"/>
    <x v="41"/>
    <x v="1"/>
    <x v="1"/>
    <x v="5"/>
    <x v="5"/>
    <x v="121"/>
    <x v="58"/>
    <x v="1"/>
    <x v="0"/>
    <x v="0"/>
    <x v="1"/>
  </r>
  <r>
    <x v="0"/>
    <x v="0"/>
    <x v="0"/>
    <x v="13"/>
    <x v="11"/>
    <x v="2"/>
    <x v="3"/>
    <x v="0"/>
    <x v="180"/>
    <x v="10"/>
    <x v="13"/>
    <x v="138"/>
    <x v="8"/>
    <x v="38"/>
    <x v="39"/>
    <x v="55"/>
    <x v="55"/>
    <x v="1"/>
    <x v="0"/>
    <x v="86"/>
    <x v="27"/>
    <x v="21"/>
    <x v="47"/>
    <x v="8"/>
    <x v="38"/>
    <x v="10"/>
    <x v="17"/>
    <x v="10"/>
    <x v="43"/>
    <x v="8"/>
    <x v="0"/>
    <x v="7"/>
    <x v="18"/>
    <x v="7"/>
    <x v="0"/>
    <x v="0"/>
    <x v="36"/>
    <x v="82"/>
    <x v="95"/>
    <x v="50"/>
    <x v="56"/>
    <x v="1"/>
    <x v="4"/>
    <x v="2"/>
    <x v="18"/>
    <x v="2"/>
    <x v="21"/>
    <x v="20"/>
    <x v="41"/>
    <x v="0"/>
    <x v="1"/>
    <x v="5"/>
    <x v="5"/>
    <x v="121"/>
    <x v="58"/>
    <x v="1"/>
    <x v="0"/>
    <x v="0"/>
    <x v="1"/>
  </r>
  <r>
    <x v="0"/>
    <x v="0"/>
    <x v="0"/>
    <x v="13"/>
    <x v="11"/>
    <x v="2"/>
    <x v="3"/>
    <x v="0"/>
    <x v="181"/>
    <x v="10"/>
    <x v="13"/>
    <x v="138"/>
    <x v="8"/>
    <x v="38"/>
    <x v="39"/>
    <x v="55"/>
    <x v="55"/>
    <x v="1"/>
    <x v="0"/>
    <x v="86"/>
    <x v="27"/>
    <x v="21"/>
    <x v="47"/>
    <x v="8"/>
    <x v="38"/>
    <x v="10"/>
    <x v="17"/>
    <x v="10"/>
    <x v="43"/>
    <x v="8"/>
    <x v="0"/>
    <x v="7"/>
    <x v="18"/>
    <x v="7"/>
    <x v="0"/>
    <x v="0"/>
    <x v="36"/>
    <x v="83"/>
    <x v="101"/>
    <x v="50"/>
    <x v="56"/>
    <x v="1"/>
    <x v="4"/>
    <x v="2"/>
    <x v="18"/>
    <x v="2"/>
    <x v="21"/>
    <x v="20"/>
    <x v="41"/>
    <x v="0"/>
    <x v="1"/>
    <x v="5"/>
    <x v="5"/>
    <x v="121"/>
    <x v="58"/>
    <x v="1"/>
    <x v="0"/>
    <x v="0"/>
    <x v="1"/>
  </r>
  <r>
    <x v="0"/>
    <x v="0"/>
    <x v="1"/>
    <x v="33"/>
    <x v="9"/>
    <x v="2"/>
    <x v="1"/>
    <x v="1"/>
    <x v="182"/>
    <x v="59"/>
    <x v="36"/>
    <x v="134"/>
    <x v="8"/>
    <x v="41"/>
    <x v="42"/>
    <x v="78"/>
    <x v="78"/>
    <x v="3"/>
    <x v="23"/>
    <x v="79"/>
    <x v="35"/>
    <x v="23"/>
    <x v="55"/>
    <x v="8"/>
    <x v="43"/>
    <x v="17"/>
    <x v="24"/>
    <x v="14"/>
    <x v="44"/>
    <x v="8"/>
    <x v="0"/>
    <x v="7"/>
    <x v="18"/>
    <x v="8"/>
    <x v="0"/>
    <x v="0"/>
    <x v="34"/>
    <x v="90"/>
    <x v="68"/>
    <x v="50"/>
    <x v="56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20"/>
    <x v="8"/>
    <x v="2"/>
    <x v="1"/>
    <x v="0"/>
    <x v="183"/>
    <x v="63"/>
    <x v="17"/>
    <x v="135"/>
    <x v="8"/>
    <x v="42"/>
    <x v="44"/>
    <x v="64"/>
    <x v="64"/>
    <x v="1"/>
    <x v="14"/>
    <x v="84"/>
    <x v="45"/>
    <x v="32"/>
    <x v="57"/>
    <x v="8"/>
    <x v="57"/>
    <x v="18"/>
    <x v="26"/>
    <x v="17"/>
    <x v="43"/>
    <x v="8"/>
    <x v="0"/>
    <x v="7"/>
    <x v="18"/>
    <x v="12"/>
    <x v="0"/>
    <x v="0"/>
    <x v="34"/>
    <x v="88"/>
    <x v="54"/>
    <x v="50"/>
    <x v="56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20"/>
    <x v="8"/>
    <x v="2"/>
    <x v="1"/>
    <x v="0"/>
    <x v="184"/>
    <x v="63"/>
    <x v="17"/>
    <x v="137"/>
    <x v="8"/>
    <x v="35"/>
    <x v="36"/>
    <x v="56"/>
    <x v="56"/>
    <x v="1"/>
    <x v="14"/>
    <x v="84"/>
    <x v="15"/>
    <x v="12"/>
    <x v="40"/>
    <x v="8"/>
    <x v="22"/>
    <x v="5"/>
    <x v="11"/>
    <x v="6"/>
    <x v="44"/>
    <x v="8"/>
    <x v="0"/>
    <x v="7"/>
    <x v="18"/>
    <x v="3"/>
    <x v="0"/>
    <x v="0"/>
    <x v="34"/>
    <x v="89"/>
    <x v="56"/>
    <x v="29"/>
    <x v="17"/>
    <x v="1"/>
    <x v="4"/>
    <x v="2"/>
    <x v="18"/>
    <x v="2"/>
    <x v="21"/>
    <x v="20"/>
    <x v="41"/>
    <x v="0"/>
    <x v="1"/>
    <x v="5"/>
    <x v="5"/>
    <x v="121"/>
    <x v="58"/>
    <x v="1"/>
    <x v="0"/>
    <x v="0"/>
    <x v="1"/>
  </r>
  <r>
    <x v="0"/>
    <x v="0"/>
    <x v="1"/>
    <x v="20"/>
    <x v="8"/>
    <x v="2"/>
    <x v="1"/>
    <x v="0"/>
    <x v="185"/>
    <x v="63"/>
    <x v="17"/>
    <x v="137"/>
    <x v="8"/>
    <x v="41"/>
    <x v="42"/>
    <x v="78"/>
    <x v="78"/>
    <x v="1"/>
    <x v="14"/>
    <x v="84"/>
    <x v="35"/>
    <x v="31"/>
    <x v="55"/>
    <x v="8"/>
    <x v="43"/>
    <x v="17"/>
    <x v="24"/>
    <x v="14"/>
    <x v="44"/>
    <x v="8"/>
    <x v="0"/>
    <x v="7"/>
    <x v="18"/>
    <x v="8"/>
    <x v="0"/>
    <x v="0"/>
    <x v="34"/>
    <x v="88"/>
    <x v="53"/>
    <x v="50"/>
    <x v="56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54"/>
    <x v="7"/>
    <x v="2"/>
    <x v="6"/>
    <x v="0"/>
    <x v="186"/>
    <x v="64"/>
    <x v="40"/>
    <x v="139"/>
    <x v="8"/>
    <x v="44"/>
    <x v="46"/>
    <x v="86"/>
    <x v="86"/>
    <x v="3"/>
    <x v="23"/>
    <x v="79"/>
    <x v="47"/>
    <x v="28"/>
    <x v="61"/>
    <x v="8"/>
    <x v="56"/>
    <x v="20"/>
    <x v="30"/>
    <x v="18"/>
    <x v="43"/>
    <x v="8"/>
    <x v="0"/>
    <x v="7"/>
    <x v="18"/>
    <x v="14"/>
    <x v="0"/>
    <x v="0"/>
    <x v="33"/>
    <x v="85"/>
    <x v="74"/>
    <x v="50"/>
    <x v="56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54"/>
    <x v="7"/>
    <x v="2"/>
    <x v="6"/>
    <x v="0"/>
    <x v="187"/>
    <x v="64"/>
    <x v="40"/>
    <x v="139"/>
    <x v="8"/>
    <x v="44"/>
    <x v="46"/>
    <x v="86"/>
    <x v="86"/>
    <x v="3"/>
    <x v="23"/>
    <x v="79"/>
    <x v="47"/>
    <x v="28"/>
    <x v="61"/>
    <x v="8"/>
    <x v="56"/>
    <x v="20"/>
    <x v="30"/>
    <x v="18"/>
    <x v="43"/>
    <x v="8"/>
    <x v="0"/>
    <x v="7"/>
    <x v="18"/>
    <x v="14"/>
    <x v="0"/>
    <x v="0"/>
    <x v="33"/>
    <x v="86"/>
    <x v="71"/>
    <x v="50"/>
    <x v="56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20"/>
    <x v="8"/>
    <x v="2"/>
    <x v="1"/>
    <x v="0"/>
    <x v="188"/>
    <x v="75"/>
    <x v="21"/>
    <x v="140"/>
    <x v="8"/>
    <x v="44"/>
    <x v="46"/>
    <x v="86"/>
    <x v="86"/>
    <x v="3"/>
    <x v="23"/>
    <x v="79"/>
    <x v="47"/>
    <x v="28"/>
    <x v="61"/>
    <x v="8"/>
    <x v="56"/>
    <x v="20"/>
    <x v="30"/>
    <x v="18"/>
    <x v="43"/>
    <x v="8"/>
    <x v="0"/>
    <x v="7"/>
    <x v="18"/>
    <x v="14"/>
    <x v="0"/>
    <x v="0"/>
    <x v="33"/>
    <x v="90"/>
    <x v="55"/>
    <x v="50"/>
    <x v="56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20"/>
    <x v="8"/>
    <x v="2"/>
    <x v="1"/>
    <x v="0"/>
    <x v="189"/>
    <x v="75"/>
    <x v="21"/>
    <x v="140"/>
    <x v="8"/>
    <x v="44"/>
    <x v="46"/>
    <x v="86"/>
    <x v="86"/>
    <x v="3"/>
    <x v="23"/>
    <x v="79"/>
    <x v="47"/>
    <x v="28"/>
    <x v="61"/>
    <x v="8"/>
    <x v="56"/>
    <x v="20"/>
    <x v="30"/>
    <x v="18"/>
    <x v="43"/>
    <x v="8"/>
    <x v="0"/>
    <x v="7"/>
    <x v="18"/>
    <x v="14"/>
    <x v="0"/>
    <x v="0"/>
    <x v="33"/>
    <x v="91"/>
    <x v="75"/>
    <x v="50"/>
    <x v="56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11"/>
    <x v="4"/>
    <x v="2"/>
    <x v="1"/>
    <x v="0"/>
    <x v="190"/>
    <x v="76"/>
    <x v="30"/>
    <x v="141"/>
    <x v="8"/>
    <x v="44"/>
    <x v="46"/>
    <x v="67"/>
    <x v="67"/>
    <x v="1"/>
    <x v="14"/>
    <x v="46"/>
    <x v="57"/>
    <x v="38"/>
    <x v="61"/>
    <x v="8"/>
    <x v="64"/>
    <x v="20"/>
    <x v="30"/>
    <x v="20"/>
    <x v="44"/>
    <x v="8"/>
    <x v="0"/>
    <x v="7"/>
    <x v="18"/>
    <x v="16"/>
    <x v="0"/>
    <x v="0"/>
    <x v="32"/>
    <x v="83"/>
    <x v="42"/>
    <x v="50"/>
    <x v="56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11"/>
    <x v="4"/>
    <x v="2"/>
    <x v="1"/>
    <x v="0"/>
    <x v="191"/>
    <x v="76"/>
    <x v="30"/>
    <x v="141"/>
    <x v="8"/>
    <x v="44"/>
    <x v="46"/>
    <x v="86"/>
    <x v="86"/>
    <x v="3"/>
    <x v="23"/>
    <x v="79"/>
    <x v="47"/>
    <x v="28"/>
    <x v="61"/>
    <x v="8"/>
    <x v="56"/>
    <x v="20"/>
    <x v="30"/>
    <x v="18"/>
    <x v="44"/>
    <x v="8"/>
    <x v="0"/>
    <x v="7"/>
    <x v="18"/>
    <x v="14"/>
    <x v="0"/>
    <x v="0"/>
    <x v="32"/>
    <x v="83"/>
    <x v="73"/>
    <x v="50"/>
    <x v="56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12"/>
    <x v="15"/>
    <x v="2"/>
    <x v="1"/>
    <x v="1"/>
    <x v="192"/>
    <x v="59"/>
    <x v="36"/>
    <x v="136"/>
    <x v="8"/>
    <x v="44"/>
    <x v="46"/>
    <x v="86"/>
    <x v="86"/>
    <x v="3"/>
    <x v="23"/>
    <x v="52"/>
    <x v="47"/>
    <x v="28"/>
    <x v="61"/>
    <x v="8"/>
    <x v="56"/>
    <x v="20"/>
    <x v="30"/>
    <x v="18"/>
    <x v="43"/>
    <x v="8"/>
    <x v="0"/>
    <x v="7"/>
    <x v="18"/>
    <x v="14"/>
    <x v="0"/>
    <x v="0"/>
    <x v="36"/>
    <x v="92"/>
    <x v="68"/>
    <x v="15"/>
    <x v="32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48"/>
    <x v="8"/>
    <x v="2"/>
    <x v="1"/>
    <x v="1"/>
    <x v="193"/>
    <x v="69"/>
    <x v="14"/>
    <x v="144"/>
    <x v="9"/>
    <x v="41"/>
    <x v="42"/>
    <x v="79"/>
    <x v="79"/>
    <x v="3"/>
    <x v="23"/>
    <x v="79"/>
    <x v="36"/>
    <x v="24"/>
    <x v="55"/>
    <x v="1"/>
    <x v="44"/>
    <x v="17"/>
    <x v="24"/>
    <x v="15"/>
    <x v="46"/>
    <x v="9"/>
    <x v="0"/>
    <x v="7"/>
    <x v="18"/>
    <x v="9"/>
    <x v="0"/>
    <x v="0"/>
    <x v="36"/>
    <x v="100"/>
    <x v="77"/>
    <x v="10"/>
    <x v="15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0"/>
    <x v="13"/>
    <x v="11"/>
    <x v="2"/>
    <x v="4"/>
    <x v="0"/>
    <x v="194"/>
    <x v="10"/>
    <x v="13"/>
    <x v="145"/>
    <x v="9"/>
    <x v="44"/>
    <x v="46"/>
    <x v="52"/>
    <x v="52"/>
    <x v="1"/>
    <x v="14"/>
    <x v="86"/>
    <x v="57"/>
    <x v="38"/>
    <x v="61"/>
    <x v="2"/>
    <x v="64"/>
    <x v="20"/>
    <x v="30"/>
    <x v="20"/>
    <x v="46"/>
    <x v="9"/>
    <x v="0"/>
    <x v="7"/>
    <x v="18"/>
    <x v="16"/>
    <x v="0"/>
    <x v="0"/>
    <x v="36"/>
    <x v="101"/>
    <x v="89"/>
    <x v="50"/>
    <x v="56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52"/>
    <x v="8"/>
    <x v="2"/>
    <x v="1"/>
    <x v="0"/>
    <x v="195"/>
    <x v="23"/>
    <x v="5"/>
    <x v="151"/>
    <x v="9"/>
    <x v="55"/>
    <x v="58"/>
    <x v="67"/>
    <x v="67"/>
    <x v="1"/>
    <x v="14"/>
    <x v="70"/>
    <x v="84"/>
    <x v="62"/>
    <x v="85"/>
    <x v="7"/>
    <x v="79"/>
    <x v="37"/>
    <x v="42"/>
    <x v="31"/>
    <x v="46"/>
    <x v="9"/>
    <x v="0"/>
    <x v="7"/>
    <x v="18"/>
    <x v="30"/>
    <x v="0"/>
    <x v="0"/>
    <x v="36"/>
    <x v="99"/>
    <x v="68"/>
    <x v="50"/>
    <x v="56"/>
    <x v="1"/>
    <x v="4"/>
    <x v="2"/>
    <x v="18"/>
    <x v="2"/>
    <x v="21"/>
    <x v="24"/>
    <x v="41"/>
    <x v="4"/>
    <x v="1"/>
    <x v="5"/>
    <x v="5"/>
    <x v="121"/>
    <x v="58"/>
    <x v="1"/>
    <x v="0"/>
    <x v="0"/>
    <x v="1"/>
  </r>
  <r>
    <x v="0"/>
    <x v="0"/>
    <x v="1"/>
    <x v="18"/>
    <x v="8"/>
    <x v="2"/>
    <x v="1"/>
    <x v="0"/>
    <x v="196"/>
    <x v="26"/>
    <x v="45"/>
    <x v="146"/>
    <x v="9"/>
    <x v="44"/>
    <x v="46"/>
    <x v="87"/>
    <x v="87"/>
    <x v="3"/>
    <x v="23"/>
    <x v="79"/>
    <x v="48"/>
    <x v="29"/>
    <x v="61"/>
    <x v="2"/>
    <x v="58"/>
    <x v="20"/>
    <x v="30"/>
    <x v="19"/>
    <x v="46"/>
    <x v="9"/>
    <x v="0"/>
    <x v="7"/>
    <x v="18"/>
    <x v="15"/>
    <x v="0"/>
    <x v="0"/>
    <x v="36"/>
    <x v="97"/>
    <x v="99"/>
    <x v="50"/>
    <x v="56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11"/>
    <x v="4"/>
    <x v="2"/>
    <x v="1"/>
    <x v="0"/>
    <x v="197"/>
    <x v="76"/>
    <x v="30"/>
    <x v="150"/>
    <x v="9"/>
    <x v="48"/>
    <x v="51"/>
    <x v="91"/>
    <x v="91"/>
    <x v="3"/>
    <x v="23"/>
    <x v="79"/>
    <x v="61"/>
    <x v="35"/>
    <x v="69"/>
    <x v="4"/>
    <x v="65"/>
    <x v="24"/>
    <x v="34"/>
    <x v="23"/>
    <x v="46"/>
    <x v="9"/>
    <x v="0"/>
    <x v="7"/>
    <x v="18"/>
    <x v="18"/>
    <x v="0"/>
    <x v="0"/>
    <x v="36"/>
    <x v="102"/>
    <x v="94"/>
    <x v="50"/>
    <x v="56"/>
    <x v="1"/>
    <x v="4"/>
    <x v="2"/>
    <x v="18"/>
    <x v="2"/>
    <x v="21"/>
    <x v="22"/>
    <x v="41"/>
    <x v="2"/>
    <x v="1"/>
    <x v="5"/>
    <x v="5"/>
    <x v="121"/>
    <x v="58"/>
    <x v="1"/>
    <x v="0"/>
    <x v="0"/>
    <x v="1"/>
  </r>
  <r>
    <x v="0"/>
    <x v="0"/>
    <x v="1"/>
    <x v="33"/>
    <x v="9"/>
    <x v="2"/>
    <x v="1"/>
    <x v="0"/>
    <x v="198"/>
    <x v="19"/>
    <x v="19"/>
    <x v="147"/>
    <x v="9"/>
    <x v="44"/>
    <x v="46"/>
    <x v="52"/>
    <x v="52"/>
    <x v="1"/>
    <x v="14"/>
    <x v="70"/>
    <x v="57"/>
    <x v="38"/>
    <x v="61"/>
    <x v="2"/>
    <x v="64"/>
    <x v="20"/>
    <x v="30"/>
    <x v="20"/>
    <x v="46"/>
    <x v="9"/>
    <x v="0"/>
    <x v="7"/>
    <x v="18"/>
    <x v="16"/>
    <x v="0"/>
    <x v="0"/>
    <x v="36"/>
    <x v="98"/>
    <x v="52"/>
    <x v="50"/>
    <x v="56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27"/>
    <x v="7"/>
    <x v="2"/>
    <x v="6"/>
    <x v="0"/>
    <x v="199"/>
    <x v="18"/>
    <x v="54"/>
    <x v="149"/>
    <x v="9"/>
    <x v="47"/>
    <x v="50"/>
    <x v="88"/>
    <x v="88"/>
    <x v="3"/>
    <x v="23"/>
    <x v="79"/>
    <x v="59"/>
    <x v="33"/>
    <x v="67"/>
    <x v="3"/>
    <x v="63"/>
    <x v="21"/>
    <x v="33"/>
    <x v="22"/>
    <x v="46"/>
    <x v="9"/>
    <x v="0"/>
    <x v="7"/>
    <x v="18"/>
    <x v="13"/>
    <x v="0"/>
    <x v="0"/>
    <x v="36"/>
    <x v="103"/>
    <x v="69"/>
    <x v="50"/>
    <x v="56"/>
    <x v="1"/>
    <x v="4"/>
    <x v="2"/>
    <x v="18"/>
    <x v="2"/>
    <x v="21"/>
    <x v="22"/>
    <x v="41"/>
    <x v="2"/>
    <x v="1"/>
    <x v="5"/>
    <x v="5"/>
    <x v="121"/>
    <x v="58"/>
    <x v="1"/>
    <x v="0"/>
    <x v="0"/>
    <x v="1"/>
  </r>
  <r>
    <x v="0"/>
    <x v="0"/>
    <x v="1"/>
    <x v="10"/>
    <x v="9"/>
    <x v="2"/>
    <x v="1"/>
    <x v="0"/>
    <x v="200"/>
    <x v="16"/>
    <x v="22"/>
    <x v="148"/>
    <x v="9"/>
    <x v="44"/>
    <x v="46"/>
    <x v="87"/>
    <x v="87"/>
    <x v="3"/>
    <x v="23"/>
    <x v="79"/>
    <x v="48"/>
    <x v="29"/>
    <x v="61"/>
    <x v="2"/>
    <x v="58"/>
    <x v="20"/>
    <x v="30"/>
    <x v="19"/>
    <x v="46"/>
    <x v="9"/>
    <x v="0"/>
    <x v="7"/>
    <x v="18"/>
    <x v="15"/>
    <x v="0"/>
    <x v="0"/>
    <x v="36"/>
    <x v="97"/>
    <x v="96"/>
    <x v="50"/>
    <x v="56"/>
    <x v="1"/>
    <x v="4"/>
    <x v="2"/>
    <x v="18"/>
    <x v="2"/>
    <x v="21"/>
    <x v="21"/>
    <x v="41"/>
    <x v="1"/>
    <x v="1"/>
    <x v="5"/>
    <x v="5"/>
    <x v="121"/>
    <x v="58"/>
    <x v="1"/>
    <x v="0"/>
    <x v="0"/>
    <x v="1"/>
  </r>
  <r>
    <x v="0"/>
    <x v="0"/>
    <x v="1"/>
    <x v="52"/>
    <x v="8"/>
    <x v="0"/>
    <x v="1"/>
    <x v="1"/>
    <x v="201"/>
    <x v="23"/>
    <x v="5"/>
    <x v="154"/>
    <x v="10"/>
    <x v="41"/>
    <x v="42"/>
    <x v="49"/>
    <x v="49"/>
    <x v="1"/>
    <x v="10"/>
    <x v="87"/>
    <x v="41"/>
    <x v="31"/>
    <x v="55"/>
    <x v="1"/>
    <x v="53"/>
    <x v="17"/>
    <x v="24"/>
    <x v="8"/>
    <x v="45"/>
    <x v="10"/>
    <x v="0"/>
    <x v="7"/>
    <x v="18"/>
    <x v="6"/>
    <x v="0"/>
    <x v="0"/>
    <x v="36"/>
    <x v="105"/>
    <x v="47"/>
    <x v="14"/>
    <x v="20"/>
    <x v="1"/>
    <x v="4"/>
    <x v="2"/>
    <x v="18"/>
    <x v="2"/>
    <x v="21"/>
    <x v="21"/>
    <x v="41"/>
    <x v="6"/>
    <x v="2"/>
    <x v="5"/>
    <x v="5"/>
    <x v="121"/>
    <x v="58"/>
    <x v="1"/>
    <x v="0"/>
    <x v="0"/>
    <x v="1"/>
  </r>
  <r>
    <x v="0"/>
    <x v="0"/>
    <x v="1"/>
    <x v="18"/>
    <x v="8"/>
    <x v="0"/>
    <x v="1"/>
    <x v="0"/>
    <x v="202"/>
    <x v="26"/>
    <x v="45"/>
    <x v="155"/>
    <x v="10"/>
    <x v="49"/>
    <x v="52"/>
    <x v="61"/>
    <x v="61"/>
    <x v="1"/>
    <x v="10"/>
    <x v="87"/>
    <x v="72"/>
    <x v="56"/>
    <x v="74"/>
    <x v="5"/>
    <x v="73"/>
    <x v="32"/>
    <x v="36"/>
    <x v="25"/>
    <x v="45"/>
    <x v="10"/>
    <x v="0"/>
    <x v="7"/>
    <x v="18"/>
    <x v="19"/>
    <x v="0"/>
    <x v="0"/>
    <x v="36"/>
    <x v="104"/>
    <x v="76"/>
    <x v="50"/>
    <x v="56"/>
    <x v="1"/>
    <x v="4"/>
    <x v="2"/>
    <x v="18"/>
    <x v="2"/>
    <x v="21"/>
    <x v="23"/>
    <x v="41"/>
    <x v="6"/>
    <x v="2"/>
    <x v="5"/>
    <x v="5"/>
    <x v="121"/>
    <x v="58"/>
    <x v="1"/>
    <x v="0"/>
    <x v="0"/>
    <x v="1"/>
  </r>
  <r>
    <x v="0"/>
    <x v="0"/>
    <x v="1"/>
    <x v="54"/>
    <x v="7"/>
    <x v="0"/>
    <x v="6"/>
    <x v="0"/>
    <x v="203"/>
    <x v="64"/>
    <x v="43"/>
    <x v="152"/>
    <x v="10"/>
    <x v="36"/>
    <x v="37"/>
    <x v="44"/>
    <x v="44"/>
    <x v="1"/>
    <x v="10"/>
    <x v="87"/>
    <x v="14"/>
    <x v="13"/>
    <x v="42"/>
    <x v="0"/>
    <x v="30"/>
    <x v="6"/>
    <x v="16"/>
    <x v="5"/>
    <x v="45"/>
    <x v="10"/>
    <x v="0"/>
    <x v="7"/>
    <x v="18"/>
    <x v="4"/>
    <x v="0"/>
    <x v="0"/>
    <x v="36"/>
    <x v="106"/>
    <x v="57"/>
    <x v="50"/>
    <x v="56"/>
    <x v="1"/>
    <x v="4"/>
    <x v="2"/>
    <x v="18"/>
    <x v="2"/>
    <x v="21"/>
    <x v="20"/>
    <x v="41"/>
    <x v="6"/>
    <x v="2"/>
    <x v="5"/>
    <x v="5"/>
    <x v="121"/>
    <x v="58"/>
    <x v="1"/>
    <x v="0"/>
    <x v="0"/>
    <x v="1"/>
  </r>
  <r>
    <x v="0"/>
    <x v="0"/>
    <x v="0"/>
    <x v="13"/>
    <x v="11"/>
    <x v="0"/>
    <x v="6"/>
    <x v="0"/>
    <x v="204"/>
    <x v="10"/>
    <x v="13"/>
    <x v="153"/>
    <x v="10"/>
    <x v="36"/>
    <x v="37"/>
    <x v="44"/>
    <x v="44"/>
    <x v="1"/>
    <x v="10"/>
    <x v="87"/>
    <x v="14"/>
    <x v="13"/>
    <x v="42"/>
    <x v="0"/>
    <x v="30"/>
    <x v="6"/>
    <x v="16"/>
    <x v="5"/>
    <x v="45"/>
    <x v="10"/>
    <x v="0"/>
    <x v="7"/>
    <x v="18"/>
    <x v="2"/>
    <x v="0"/>
    <x v="0"/>
    <x v="36"/>
    <x v="105"/>
    <x v="102"/>
    <x v="50"/>
    <x v="56"/>
    <x v="1"/>
    <x v="4"/>
    <x v="2"/>
    <x v="18"/>
    <x v="2"/>
    <x v="21"/>
    <x v="20"/>
    <x v="41"/>
    <x v="6"/>
    <x v="2"/>
    <x v="5"/>
    <x v="5"/>
    <x v="121"/>
    <x v="58"/>
    <x v="1"/>
    <x v="0"/>
    <x v="0"/>
    <x v="1"/>
  </r>
  <r>
    <x v="0"/>
    <x v="0"/>
    <x v="0"/>
    <x v="1"/>
    <x v="11"/>
    <x v="1"/>
    <x v="5"/>
    <x v="0"/>
    <x v="205"/>
    <x v="1"/>
    <x v="31"/>
    <x v="156"/>
    <x v="11"/>
    <x v="55"/>
    <x v="58"/>
    <x v="96"/>
    <x v="96"/>
    <x v="1"/>
    <x v="11"/>
    <x v="80"/>
    <x v="87"/>
    <x v="58"/>
    <x v="85"/>
    <x v="7"/>
    <x v="78"/>
    <x v="40"/>
    <x v="46"/>
    <x v="36"/>
    <x v="46"/>
    <x v="11"/>
    <x v="0"/>
    <x v="7"/>
    <x v="18"/>
    <x v="35"/>
    <x v="33"/>
    <x v="1"/>
    <x v="36"/>
    <x v="109"/>
    <x v="48"/>
    <x v="50"/>
    <x v="56"/>
    <x v="1"/>
    <x v="4"/>
    <x v="7"/>
    <x v="27"/>
    <x v="0"/>
    <x v="19"/>
    <x v="24"/>
    <x v="41"/>
    <x v="6"/>
    <x v="2"/>
    <x v="5"/>
    <x v="5"/>
    <x v="121"/>
    <x v="58"/>
    <x v="1"/>
    <x v="0"/>
    <x v="0"/>
    <x v="1"/>
  </r>
  <r>
    <x v="0"/>
    <x v="0"/>
    <x v="1"/>
    <x v="10"/>
    <x v="9"/>
    <x v="2"/>
    <x v="1"/>
    <x v="1"/>
    <x v="207"/>
    <x v="21"/>
    <x v="47"/>
    <x v="157"/>
    <x v="12"/>
    <x v="41"/>
    <x v="42"/>
    <x v="78"/>
    <x v="78"/>
    <x v="3"/>
    <x v="23"/>
    <x v="79"/>
    <x v="110"/>
    <x v="22"/>
    <x v="55"/>
    <x v="1"/>
    <x v="49"/>
    <x v="35"/>
    <x v="29"/>
    <x v="36"/>
    <x v="46"/>
    <x v="12"/>
    <x v="0"/>
    <x v="7"/>
    <x v="18"/>
    <x v="35"/>
    <x v="33"/>
    <x v="1"/>
    <x v="36"/>
    <x v="108"/>
    <x v="75"/>
    <x v="50"/>
    <x v="56"/>
    <x v="1"/>
    <x v="4"/>
    <x v="7"/>
    <x v="27"/>
    <x v="0"/>
    <x v="21"/>
    <x v="21"/>
    <x v="41"/>
    <x v="6"/>
    <x v="2"/>
    <x v="5"/>
    <x v="5"/>
    <x v="121"/>
    <x v="58"/>
    <x v="1"/>
    <x v="0"/>
    <x v="0"/>
    <x v="0"/>
  </r>
  <r>
    <x v="0"/>
    <x v="0"/>
    <x v="1"/>
    <x v="10"/>
    <x v="9"/>
    <x v="2"/>
    <x v="1"/>
    <x v="1"/>
    <x v="208"/>
    <x v="21"/>
    <x v="47"/>
    <x v="157"/>
    <x v="12"/>
    <x v="41"/>
    <x v="42"/>
    <x v="78"/>
    <x v="78"/>
    <x v="3"/>
    <x v="23"/>
    <x v="79"/>
    <x v="110"/>
    <x v="22"/>
    <x v="55"/>
    <x v="1"/>
    <x v="49"/>
    <x v="35"/>
    <x v="29"/>
    <x v="36"/>
    <x v="46"/>
    <x v="12"/>
    <x v="0"/>
    <x v="7"/>
    <x v="18"/>
    <x v="35"/>
    <x v="33"/>
    <x v="1"/>
    <x v="36"/>
    <x v="108"/>
    <x v="75"/>
    <x v="50"/>
    <x v="56"/>
    <x v="1"/>
    <x v="4"/>
    <x v="7"/>
    <x v="27"/>
    <x v="0"/>
    <x v="21"/>
    <x v="21"/>
    <x v="41"/>
    <x v="6"/>
    <x v="2"/>
    <x v="5"/>
    <x v="5"/>
    <x v="121"/>
    <x v="58"/>
    <x v="1"/>
    <x v="0"/>
    <x v="0"/>
    <x v="0"/>
  </r>
  <r>
    <x v="0"/>
    <x v="0"/>
    <x v="1"/>
    <x v="8"/>
    <x v="8"/>
    <x v="2"/>
    <x v="1"/>
    <x v="0"/>
    <x v="206"/>
    <x v="65"/>
    <x v="8"/>
    <x v="158"/>
    <x v="12"/>
    <x v="54"/>
    <x v="57"/>
    <x v="103"/>
    <x v="103"/>
    <x v="3"/>
    <x v="23"/>
    <x v="79"/>
    <x v="85"/>
    <x v="53"/>
    <x v="79"/>
    <x v="6"/>
    <x v="76"/>
    <x v="51"/>
    <x v="45"/>
    <x v="36"/>
    <x v="46"/>
    <x v="12"/>
    <x v="0"/>
    <x v="7"/>
    <x v="18"/>
    <x v="35"/>
    <x v="33"/>
    <x v="1"/>
    <x v="36"/>
    <x v="107"/>
    <x v="79"/>
    <x v="50"/>
    <x v="56"/>
    <x v="1"/>
    <x v="4"/>
    <x v="7"/>
    <x v="27"/>
    <x v="2"/>
    <x v="20"/>
    <x v="24"/>
    <x v="41"/>
    <x v="6"/>
    <x v="2"/>
    <x v="5"/>
    <x v="5"/>
    <x v="121"/>
    <x v="58"/>
    <x v="1"/>
    <x v="0"/>
    <x v="0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Summary" cacheId="1" dataOnRows="0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1:O4" firstHeaderRow="1" firstDataRow="2" firstDataCol="1"/>
  <pivotFields count="59">
    <pivotField compact="0" outline="0" showAll="0"/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">
    <i>
      <x/>
    </i>
    <i t="grand">
      <x/>
    </i>
  </rowItems>
  <colFields count="1">
    <field x="12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ACTUAL AREA PLANTED (HA)" fld="14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4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2.6679687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customFormat="false" ht="15.75" hidden="false" customHeight="false" outlineLevel="0" collapsed="false">
      <c r="A2" s="5" t="s">
        <v>2</v>
      </c>
      <c r="B2" s="6" t="n">
        <v>2011</v>
      </c>
      <c r="C2" s="7" t="n">
        <v>2012</v>
      </c>
      <c r="D2" s="7" t="n">
        <v>2013</v>
      </c>
      <c r="E2" s="7" t="n">
        <v>2014</v>
      </c>
      <c r="F2" s="7" t="n">
        <v>2015</v>
      </c>
      <c r="G2" s="7" t="n">
        <v>2016</v>
      </c>
      <c r="H2" s="7" t="n">
        <v>2017</v>
      </c>
      <c r="I2" s="7" t="n">
        <v>2018</v>
      </c>
      <c r="J2" s="7" t="n">
        <v>2020</v>
      </c>
      <c r="K2" s="7" t="n">
        <v>2021</v>
      </c>
      <c r="L2" s="7" t="n">
        <v>2022</v>
      </c>
      <c r="M2" s="7" t="n">
        <v>2023</v>
      </c>
      <c r="N2" s="7" t="n">
        <v>2024</v>
      </c>
      <c r="O2" s="8" t="s">
        <v>3</v>
      </c>
    </row>
    <row r="3" customFormat="false" ht="15.75" hidden="false" customHeight="false" outlineLevel="0" collapsed="false">
      <c r="A3" s="9" t="s">
        <v>4</v>
      </c>
      <c r="B3" s="10" t="n">
        <v>574.536</v>
      </c>
      <c r="C3" s="11" t="n">
        <v>775.54</v>
      </c>
      <c r="D3" s="11" t="n">
        <v>1470.37</v>
      </c>
      <c r="E3" s="11" t="n">
        <v>1828</v>
      </c>
      <c r="F3" s="11" t="n">
        <v>2227</v>
      </c>
      <c r="G3" s="11" t="n">
        <v>292</v>
      </c>
      <c r="H3" s="11" t="n">
        <v>940</v>
      </c>
      <c r="I3" s="11" t="n">
        <v>822</v>
      </c>
      <c r="J3" s="11" t="n">
        <v>475</v>
      </c>
      <c r="K3" s="11" t="n">
        <v>229</v>
      </c>
      <c r="L3" s="11" t="n">
        <v>78</v>
      </c>
      <c r="M3" s="11" t="n">
        <v>50</v>
      </c>
      <c r="N3" s="12" t="n">
        <v>86</v>
      </c>
      <c r="O3" s="13" t="n">
        <v>9847.446</v>
      </c>
    </row>
    <row r="4" customFormat="false" ht="15.75" hidden="false" customHeight="false" outlineLevel="0" collapsed="false">
      <c r="A4" s="14" t="s">
        <v>3</v>
      </c>
      <c r="B4" s="15" t="n">
        <v>574.536</v>
      </c>
      <c r="C4" s="16" t="n">
        <v>775.54</v>
      </c>
      <c r="D4" s="16" t="n">
        <v>1470.37</v>
      </c>
      <c r="E4" s="16" t="n">
        <v>1828</v>
      </c>
      <c r="F4" s="16" t="n">
        <v>2227</v>
      </c>
      <c r="G4" s="16" t="n">
        <v>292</v>
      </c>
      <c r="H4" s="16" t="n">
        <v>940</v>
      </c>
      <c r="I4" s="16" t="n">
        <v>822</v>
      </c>
      <c r="J4" s="16" t="n">
        <v>475</v>
      </c>
      <c r="K4" s="16" t="n">
        <v>229</v>
      </c>
      <c r="L4" s="16" t="n">
        <v>78</v>
      </c>
      <c r="M4" s="16" t="n">
        <v>50</v>
      </c>
      <c r="N4" s="17" t="n">
        <v>86</v>
      </c>
      <c r="O4" s="18" t="n">
        <v>9847.446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1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I17" activeCellId="0" sqref="I17"/>
    </sheetView>
  </sheetViews>
  <sheetFormatPr defaultColWidth="12.66796875" defaultRowHeight="15.75" customHeight="true" zeroHeight="false" outlineLevelRow="0" outlineLevelCol="1"/>
  <cols>
    <col collapsed="false" customWidth="true" hidden="false" outlineLevel="0" max="2" min="2" style="19" width="14.11"/>
    <col collapsed="false" customWidth="true" hidden="true" outlineLevel="1" max="3" min="3" style="19" width="18.79"/>
    <col collapsed="false" customWidth="false" hidden="true" outlineLevel="1" max="6" min="4" style="19" width="12.67"/>
    <col collapsed="false" customWidth="true" hidden="true" outlineLevel="1" max="7" min="7" style="19" width="26.77"/>
    <col collapsed="false" customWidth="false" hidden="true" outlineLevel="1" max="8" min="8" style="19" width="12.67"/>
    <col collapsed="false" customWidth="true" hidden="false" outlineLevel="0" max="9" min="9" style="19" width="26"/>
    <col collapsed="false" customWidth="true" hidden="false" outlineLevel="0" max="10" min="10" style="19" width="41.76"/>
    <col collapsed="false" customWidth="true" hidden="false" outlineLevel="0" max="11" min="11" style="19" width="21"/>
    <col collapsed="false" customWidth="true" hidden="false" outlineLevel="0" max="12" min="12" style="19" width="25.67"/>
    <col collapsed="false" customWidth="true" hidden="false" outlineLevel="0" max="19" min="19" style="19" width="23.88"/>
    <col collapsed="false" customWidth="true" hidden="false" outlineLevel="0" max="20" min="20" style="19" width="21.77"/>
    <col collapsed="false" customWidth="true" hidden="false" outlineLevel="0" max="22" min="22" style="19" width="22.76"/>
    <col collapsed="false" customWidth="true" hidden="false" outlineLevel="0" max="23" min="23" style="19" width="19.67"/>
  </cols>
  <sheetData>
    <row r="1" customFormat="false" ht="15.75" hidden="false" customHeight="false" outlineLevel="0" collapsed="false">
      <c r="A1" s="20" t="s">
        <v>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customFormat="false" ht="15.75" hidden="false" customHeight="false" outlineLevel="0" collapsed="false">
      <c r="A2" s="22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4"/>
      <c r="U2" s="25"/>
      <c r="V2" s="25"/>
      <c r="W2" s="26"/>
      <c r="X2" s="26"/>
    </row>
    <row r="3" customFormat="false" ht="122.35" hidden="false" customHeight="false" outlineLevel="0" collapsed="false">
      <c r="A3" s="27" t="s">
        <v>7</v>
      </c>
      <c r="B3" s="28" t="s">
        <v>2</v>
      </c>
      <c r="C3" s="28" t="s">
        <v>8</v>
      </c>
      <c r="D3" s="27" t="s">
        <v>9</v>
      </c>
      <c r="E3" s="27" t="s">
        <v>10</v>
      </c>
      <c r="F3" s="29" t="s">
        <v>11</v>
      </c>
      <c r="G3" s="30" t="s">
        <v>12</v>
      </c>
      <c r="H3" s="30" t="s">
        <v>13</v>
      </c>
      <c r="I3" s="31" t="s">
        <v>14</v>
      </c>
      <c r="J3" s="28" t="s">
        <v>15</v>
      </c>
      <c r="K3" s="28" t="s">
        <v>16</v>
      </c>
      <c r="L3" s="28" t="s">
        <v>17</v>
      </c>
      <c r="M3" s="32" t="s">
        <v>1</v>
      </c>
      <c r="N3" s="28" t="s">
        <v>18</v>
      </c>
      <c r="O3" s="28" t="s">
        <v>19</v>
      </c>
      <c r="P3" s="33" t="s">
        <v>20</v>
      </c>
      <c r="Q3" s="33" t="s">
        <v>21</v>
      </c>
      <c r="R3" s="27" t="s">
        <v>22</v>
      </c>
      <c r="S3" s="28" t="s">
        <v>23</v>
      </c>
      <c r="T3" s="28" t="s">
        <v>24</v>
      </c>
      <c r="U3" s="34" t="s">
        <v>25</v>
      </c>
      <c r="V3" s="34" t="s">
        <v>26</v>
      </c>
      <c r="W3" s="35" t="s">
        <v>27</v>
      </c>
      <c r="X3" s="35" t="s">
        <v>28</v>
      </c>
    </row>
    <row r="4" customFormat="false" ht="87.75" hidden="false" customHeight="true" outlineLevel="0" collapsed="false">
      <c r="A4" s="36" t="s">
        <v>29</v>
      </c>
      <c r="B4" s="36" t="s">
        <v>4</v>
      </c>
      <c r="C4" s="36" t="s">
        <v>30</v>
      </c>
      <c r="D4" s="36" t="s">
        <v>31</v>
      </c>
      <c r="E4" s="36" t="s">
        <v>32</v>
      </c>
      <c r="F4" s="36"/>
      <c r="G4" s="36" t="s">
        <v>33</v>
      </c>
      <c r="H4" s="36" t="s">
        <v>34</v>
      </c>
      <c r="I4" s="36" t="s">
        <v>35</v>
      </c>
      <c r="J4" s="36" t="s">
        <v>36</v>
      </c>
      <c r="K4" s="36" t="s">
        <v>37</v>
      </c>
      <c r="L4" s="36" t="s">
        <v>38</v>
      </c>
      <c r="M4" s="36" t="n">
        <v>2021</v>
      </c>
      <c r="N4" s="36" t="n">
        <v>20</v>
      </c>
      <c r="O4" s="36" t="n">
        <v>20</v>
      </c>
      <c r="P4" s="37" t="n">
        <v>33462</v>
      </c>
      <c r="Q4" s="37" t="n">
        <v>33462</v>
      </c>
      <c r="R4" s="36" t="s">
        <v>39</v>
      </c>
      <c r="S4" s="36" t="s">
        <v>40</v>
      </c>
      <c r="T4" s="36" t="s">
        <v>41</v>
      </c>
      <c r="U4" s="36" t="s">
        <v>42</v>
      </c>
      <c r="V4" s="38" t="n">
        <v>45291</v>
      </c>
      <c r="W4" s="38" t="n">
        <v>45254</v>
      </c>
      <c r="X4" s="39" t="n">
        <v>0.8761</v>
      </c>
    </row>
    <row r="5" customFormat="false" ht="28.35" hidden="false" customHeight="false" outlineLevel="0" collapsed="false">
      <c r="A5" s="36" t="s">
        <v>29</v>
      </c>
      <c r="B5" s="36" t="s">
        <v>4</v>
      </c>
      <c r="C5" s="36" t="s">
        <v>43</v>
      </c>
      <c r="D5" s="36" t="s">
        <v>44</v>
      </c>
      <c r="E5" s="36" t="s">
        <v>45</v>
      </c>
      <c r="F5" s="36"/>
      <c r="G5" s="36" t="s">
        <v>46</v>
      </c>
      <c r="H5" s="36" t="s">
        <v>47</v>
      </c>
      <c r="I5" s="36" t="s">
        <v>48</v>
      </c>
      <c r="J5" s="36" t="s">
        <v>49</v>
      </c>
      <c r="K5" s="36" t="s">
        <v>50</v>
      </c>
      <c r="L5" s="36" t="s">
        <v>51</v>
      </c>
      <c r="M5" s="36" t="n">
        <v>2021</v>
      </c>
      <c r="N5" s="36" t="n">
        <v>25</v>
      </c>
      <c r="O5" s="36" t="n">
        <v>25</v>
      </c>
      <c r="P5" s="37" t="n">
        <v>12500</v>
      </c>
      <c r="Q5" s="37" t="n">
        <v>12500</v>
      </c>
      <c r="R5" s="36" t="s">
        <v>52</v>
      </c>
      <c r="S5" s="36" t="s">
        <v>53</v>
      </c>
      <c r="T5" s="36" t="s">
        <v>54</v>
      </c>
      <c r="U5" s="36" t="s">
        <v>42</v>
      </c>
      <c r="V5" s="38" t="n">
        <v>45291</v>
      </c>
      <c r="W5" s="38" t="n">
        <v>45258</v>
      </c>
      <c r="X5" s="39" t="n">
        <v>0.885</v>
      </c>
    </row>
    <row r="6" customFormat="false" ht="28.35" hidden="false" customHeight="false" outlineLevel="0" collapsed="false">
      <c r="A6" s="36" t="s">
        <v>29</v>
      </c>
      <c r="B6" s="36" t="s">
        <v>4</v>
      </c>
      <c r="C6" s="36" t="s">
        <v>30</v>
      </c>
      <c r="D6" s="36" t="s">
        <v>55</v>
      </c>
      <c r="E6" s="36" t="s">
        <v>32</v>
      </c>
      <c r="F6" s="36"/>
      <c r="G6" s="36" t="s">
        <v>33</v>
      </c>
      <c r="H6" s="36" t="s">
        <v>47</v>
      </c>
      <c r="I6" s="36" t="s">
        <v>56</v>
      </c>
      <c r="J6" s="36" t="s">
        <v>57</v>
      </c>
      <c r="K6" s="36" t="s">
        <v>58</v>
      </c>
      <c r="L6" s="36" t="s">
        <v>59</v>
      </c>
      <c r="M6" s="36" t="n">
        <v>2021</v>
      </c>
      <c r="N6" s="36" t="n">
        <v>50</v>
      </c>
      <c r="O6" s="36" t="n">
        <v>50</v>
      </c>
      <c r="P6" s="37" t="n">
        <v>25000</v>
      </c>
      <c r="Q6" s="37" t="n">
        <v>25000</v>
      </c>
      <c r="R6" s="36" t="s">
        <v>52</v>
      </c>
      <c r="S6" s="36" t="s">
        <v>53</v>
      </c>
      <c r="T6" s="36" t="s">
        <v>60</v>
      </c>
      <c r="U6" s="36" t="s">
        <v>42</v>
      </c>
      <c r="V6" s="38" t="n">
        <v>45291</v>
      </c>
      <c r="W6" s="38" t="n">
        <v>45253</v>
      </c>
      <c r="X6" s="39" t="n">
        <v>0.87</v>
      </c>
    </row>
    <row r="7" customFormat="false" ht="15.75" hidden="false" customHeight="false" outlineLevel="0" collapsed="false">
      <c r="A7" s="36" t="s">
        <v>29</v>
      </c>
      <c r="B7" s="36" t="s">
        <v>4</v>
      </c>
      <c r="C7" s="36" t="s">
        <v>30</v>
      </c>
      <c r="D7" s="36" t="s">
        <v>61</v>
      </c>
      <c r="E7" s="36" t="s">
        <v>32</v>
      </c>
      <c r="F7" s="36"/>
      <c r="G7" s="36" t="s">
        <v>33</v>
      </c>
      <c r="H7" s="36" t="s">
        <v>47</v>
      </c>
      <c r="I7" s="36" t="s">
        <v>62</v>
      </c>
      <c r="J7" s="36" t="s">
        <v>63</v>
      </c>
      <c r="K7" s="36" t="s">
        <v>64</v>
      </c>
      <c r="L7" s="36" t="s">
        <v>65</v>
      </c>
      <c r="M7" s="36" t="n">
        <v>2021</v>
      </c>
      <c r="N7" s="36" t="n">
        <v>25</v>
      </c>
      <c r="O7" s="36" t="n">
        <v>25</v>
      </c>
      <c r="P7" s="37" t="n">
        <v>41700</v>
      </c>
      <c r="Q7" s="37" t="n">
        <v>41700</v>
      </c>
      <c r="R7" s="36" t="s">
        <v>39</v>
      </c>
      <c r="S7" s="36" t="s">
        <v>40</v>
      </c>
      <c r="T7" s="36" t="s">
        <v>41</v>
      </c>
      <c r="U7" s="36" t="s">
        <v>42</v>
      </c>
      <c r="V7" s="38" t="n">
        <v>45291</v>
      </c>
      <c r="W7" s="38" t="n">
        <v>45251</v>
      </c>
      <c r="X7" s="39" t="n">
        <v>0.8959</v>
      </c>
    </row>
    <row r="8" customFormat="false" ht="28.35" hidden="false" customHeight="false" outlineLevel="0" collapsed="false">
      <c r="A8" s="36" t="s">
        <v>29</v>
      </c>
      <c r="B8" s="36" t="s">
        <v>4</v>
      </c>
      <c r="C8" s="36" t="s">
        <v>30</v>
      </c>
      <c r="D8" s="36" t="s">
        <v>66</v>
      </c>
      <c r="E8" s="36" t="s">
        <v>67</v>
      </c>
      <c r="F8" s="36"/>
      <c r="G8" s="36" t="s">
        <v>33</v>
      </c>
      <c r="H8" s="36" t="s">
        <v>47</v>
      </c>
      <c r="I8" s="36" t="s">
        <v>68</v>
      </c>
      <c r="J8" s="36" t="s">
        <v>69</v>
      </c>
      <c r="K8" s="36" t="s">
        <v>70</v>
      </c>
      <c r="L8" s="36" t="s">
        <v>71</v>
      </c>
      <c r="M8" s="36" t="n">
        <v>2021</v>
      </c>
      <c r="N8" s="36" t="n">
        <v>30</v>
      </c>
      <c r="O8" s="36" t="n">
        <v>30</v>
      </c>
      <c r="P8" s="37" t="n">
        <v>50040</v>
      </c>
      <c r="Q8" s="37" t="n">
        <v>50040</v>
      </c>
      <c r="R8" s="36" t="s">
        <v>39</v>
      </c>
      <c r="S8" s="36" t="s">
        <v>40</v>
      </c>
      <c r="T8" s="36" t="s">
        <v>41</v>
      </c>
      <c r="U8" s="36" t="s">
        <v>42</v>
      </c>
      <c r="V8" s="38" t="n">
        <v>45291</v>
      </c>
      <c r="W8" s="38" t="n">
        <v>45259</v>
      </c>
      <c r="X8" s="39" t="n">
        <v>0.889</v>
      </c>
    </row>
    <row r="9" customFormat="false" ht="15.75" hidden="false" customHeight="false" outlineLevel="0" collapsed="false">
      <c r="A9" s="36" t="s">
        <v>29</v>
      </c>
      <c r="B9" s="36" t="s">
        <v>4</v>
      </c>
      <c r="C9" s="36" t="s">
        <v>30</v>
      </c>
      <c r="D9" s="36" t="s">
        <v>72</v>
      </c>
      <c r="E9" s="36" t="s">
        <v>73</v>
      </c>
      <c r="F9" s="36"/>
      <c r="G9" s="36" t="s">
        <v>33</v>
      </c>
      <c r="H9" s="36" t="s">
        <v>47</v>
      </c>
      <c r="I9" s="36" t="s">
        <v>74</v>
      </c>
      <c r="J9" s="36" t="s">
        <v>75</v>
      </c>
      <c r="K9" s="36" t="s">
        <v>76</v>
      </c>
      <c r="L9" s="36" t="s">
        <v>77</v>
      </c>
      <c r="M9" s="36" t="n">
        <v>2021</v>
      </c>
      <c r="N9" s="36" t="n">
        <v>25</v>
      </c>
      <c r="O9" s="36" t="n">
        <v>25</v>
      </c>
      <c r="P9" s="37" t="n">
        <v>12500</v>
      </c>
      <c r="Q9" s="37" t="n">
        <v>12500</v>
      </c>
      <c r="R9" s="36" t="s">
        <v>52</v>
      </c>
      <c r="S9" s="36" t="s">
        <v>53</v>
      </c>
      <c r="T9" s="36" t="s">
        <v>60</v>
      </c>
      <c r="U9" s="36" t="s">
        <v>42</v>
      </c>
      <c r="V9" s="38" t="n">
        <v>45291</v>
      </c>
      <c r="W9" s="38" t="n">
        <v>45252</v>
      </c>
      <c r="X9" s="39" t="n">
        <v>0.865</v>
      </c>
    </row>
    <row r="10" customFormat="false" ht="15.75" hidden="false" customHeight="false" outlineLevel="0" collapsed="false">
      <c r="A10" s="36" t="s">
        <v>29</v>
      </c>
      <c r="B10" s="36" t="s">
        <v>4</v>
      </c>
      <c r="C10" s="36" t="s">
        <v>30</v>
      </c>
      <c r="D10" s="36" t="s">
        <v>78</v>
      </c>
      <c r="E10" s="36" t="s">
        <v>79</v>
      </c>
      <c r="F10" s="36"/>
      <c r="G10" s="36" t="s">
        <v>80</v>
      </c>
      <c r="H10" s="36" t="s">
        <v>47</v>
      </c>
      <c r="I10" s="36" t="s">
        <v>81</v>
      </c>
      <c r="J10" s="36" t="s">
        <v>82</v>
      </c>
      <c r="K10" s="36" t="s">
        <v>83</v>
      </c>
      <c r="L10" s="36" t="s">
        <v>84</v>
      </c>
      <c r="M10" s="36" t="n">
        <v>2021</v>
      </c>
      <c r="N10" s="36" t="n">
        <v>29</v>
      </c>
      <c r="O10" s="36" t="n">
        <v>29</v>
      </c>
      <c r="P10" s="37" t="n">
        <v>48372</v>
      </c>
      <c r="Q10" s="37" t="n">
        <v>48372</v>
      </c>
      <c r="R10" s="36" t="s">
        <v>39</v>
      </c>
      <c r="S10" s="36" t="s">
        <v>40</v>
      </c>
      <c r="T10" s="36" t="s">
        <v>41</v>
      </c>
      <c r="U10" s="36" t="s">
        <v>42</v>
      </c>
      <c r="V10" s="38" t="n">
        <v>45291</v>
      </c>
      <c r="W10" s="40" t="n">
        <v>45267</v>
      </c>
      <c r="X10" s="39" t="n">
        <v>0.8704</v>
      </c>
    </row>
    <row r="11" customFormat="false" ht="15.75" hidden="false" customHeight="false" outlineLevel="0" collapsed="false">
      <c r="A11" s="36" t="s">
        <v>29</v>
      </c>
      <c r="B11" s="36" t="s">
        <v>4</v>
      </c>
      <c r="C11" s="36" t="s">
        <v>30</v>
      </c>
      <c r="D11" s="36" t="s">
        <v>85</v>
      </c>
      <c r="E11" s="36" t="s">
        <v>73</v>
      </c>
      <c r="F11" s="36"/>
      <c r="G11" s="36" t="s">
        <v>33</v>
      </c>
      <c r="H11" s="36" t="s">
        <v>47</v>
      </c>
      <c r="I11" s="36" t="s">
        <v>86</v>
      </c>
      <c r="J11" s="36" t="s">
        <v>87</v>
      </c>
      <c r="K11" s="36" t="s">
        <v>88</v>
      </c>
      <c r="L11" s="36" t="s">
        <v>89</v>
      </c>
      <c r="M11" s="36" t="n">
        <v>2021</v>
      </c>
      <c r="N11" s="36" t="n">
        <v>25</v>
      </c>
      <c r="O11" s="36" t="n">
        <v>25</v>
      </c>
      <c r="P11" s="37" t="n">
        <v>41700</v>
      </c>
      <c r="Q11" s="37" t="n">
        <v>41700</v>
      </c>
      <c r="R11" s="36" t="s">
        <v>39</v>
      </c>
      <c r="S11" s="36" t="s">
        <v>40</v>
      </c>
      <c r="T11" s="36" t="s">
        <v>41</v>
      </c>
      <c r="U11" s="36" t="s">
        <v>42</v>
      </c>
      <c r="V11" s="38" t="n">
        <v>45291</v>
      </c>
      <c r="W11" s="38" t="n">
        <v>45251</v>
      </c>
      <c r="X11" s="39" t="n">
        <v>0.89</v>
      </c>
    </row>
  </sheetData>
  <mergeCells count="2">
    <mergeCell ref="U2:V2"/>
    <mergeCell ref="W2:X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7"/>
  <sheetViews>
    <sheetView showFormulas="false" showGridLines="true" showRowColHeaders="true" showZeros="true" rightToLeft="false" tabSelected="false" showOutlineSymbols="true" defaultGridColor="true" view="normal" topLeftCell="R1" colorId="64" zoomScale="65" zoomScaleNormal="65" zoomScalePageLayoutView="100" workbookViewId="0">
      <pane xSplit="0" ySplit="3" topLeftCell="A4" activePane="bottomLeft" state="frozen"/>
      <selection pane="topLeft" activeCell="R1" activeCellId="0" sqref="R1"/>
      <selection pane="bottomLeft" activeCell="Y3" activeCellId="0" sqref="Y3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2" min="2" style="19" width="14.11"/>
    <col collapsed="false" customWidth="true" hidden="false" outlineLevel="0" max="3" min="3" style="19" width="18.79"/>
    <col collapsed="false" customWidth="true" hidden="false" outlineLevel="0" max="7" min="7" style="19" width="26.77"/>
    <col collapsed="false" customWidth="true" hidden="false" outlineLevel="0" max="9" min="9" style="19" width="26"/>
    <col collapsed="false" customWidth="true" hidden="false" outlineLevel="0" max="10" min="10" style="19" width="38"/>
    <col collapsed="false" customWidth="true" hidden="false" outlineLevel="0" max="11" min="11" style="19" width="21"/>
    <col collapsed="false" customWidth="true" hidden="false" outlineLevel="0" max="12" min="12" style="19" width="25.67"/>
    <col collapsed="false" customWidth="true" hidden="false" outlineLevel="0" max="19" min="19" style="19" width="23.88"/>
    <col collapsed="false" customWidth="true" hidden="false" outlineLevel="0" max="20" min="20" style="19" width="51.11"/>
    <col collapsed="false" customWidth="true" hidden="false" outlineLevel="0" max="21" min="21" style="19" width="13.88"/>
    <col collapsed="false" customWidth="true" hidden="false" outlineLevel="0" max="22" min="22" style="19" width="22.76"/>
    <col collapsed="false" customWidth="true" hidden="false" outlineLevel="0" max="23" min="23" style="19" width="19.67"/>
  </cols>
  <sheetData>
    <row r="1" customFormat="false" ht="15.75" hidden="false" customHeight="false" outlineLevel="0" collapsed="false">
      <c r="A1" s="20" t="s">
        <v>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customFormat="false" ht="15.75" hidden="false" customHeight="false" outlineLevel="0" collapsed="false">
      <c r="A2" s="41" t="s">
        <v>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3"/>
      <c r="U2" s="25"/>
      <c r="V2" s="25"/>
      <c r="W2" s="26"/>
      <c r="X2" s="26"/>
    </row>
    <row r="3" customFormat="false" ht="75.75" hidden="false" customHeight="true" outlineLevel="0" collapsed="false">
      <c r="A3" s="27" t="s">
        <v>7</v>
      </c>
      <c r="B3" s="28" t="s">
        <v>2</v>
      </c>
      <c r="C3" s="28" t="s">
        <v>8</v>
      </c>
      <c r="D3" s="27" t="s">
        <v>9</v>
      </c>
      <c r="E3" s="27" t="s">
        <v>10</v>
      </c>
      <c r="F3" s="29" t="s">
        <v>11</v>
      </c>
      <c r="G3" s="30" t="s">
        <v>12</v>
      </c>
      <c r="H3" s="30" t="s">
        <v>13</v>
      </c>
      <c r="I3" s="31" t="s">
        <v>14</v>
      </c>
      <c r="J3" s="28" t="s">
        <v>15</v>
      </c>
      <c r="K3" s="28" t="s">
        <v>16</v>
      </c>
      <c r="L3" s="28" t="s">
        <v>17</v>
      </c>
      <c r="M3" s="32" t="s">
        <v>1</v>
      </c>
      <c r="N3" s="28" t="s">
        <v>18</v>
      </c>
      <c r="O3" s="28" t="s">
        <v>19</v>
      </c>
      <c r="P3" s="33" t="s">
        <v>20</v>
      </c>
      <c r="Q3" s="33" t="s">
        <v>21</v>
      </c>
      <c r="R3" s="27" t="s">
        <v>22</v>
      </c>
      <c r="S3" s="28" t="s">
        <v>23</v>
      </c>
      <c r="T3" s="28" t="s">
        <v>24</v>
      </c>
      <c r="U3" s="34" t="s">
        <v>25</v>
      </c>
      <c r="V3" s="34" t="s">
        <v>26</v>
      </c>
      <c r="W3" s="35" t="s">
        <v>27</v>
      </c>
      <c r="X3" s="35" t="s">
        <v>28</v>
      </c>
    </row>
    <row r="4" customFormat="false" ht="28.35" hidden="false" customHeight="false" outlineLevel="0" collapsed="false">
      <c r="A4" s="36" t="s">
        <v>29</v>
      </c>
      <c r="B4" s="36" t="s">
        <v>4</v>
      </c>
      <c r="C4" s="36" t="s">
        <v>30</v>
      </c>
      <c r="D4" s="36" t="s">
        <v>55</v>
      </c>
      <c r="E4" s="36" t="s">
        <v>32</v>
      </c>
      <c r="F4" s="36" t="s">
        <v>90</v>
      </c>
      <c r="G4" s="36" t="s">
        <v>33</v>
      </c>
      <c r="H4" s="36" t="s">
        <v>34</v>
      </c>
      <c r="I4" s="36" t="s">
        <v>91</v>
      </c>
      <c r="J4" s="36" t="s">
        <v>57</v>
      </c>
      <c r="K4" s="36" t="s">
        <v>58</v>
      </c>
      <c r="L4" s="36" t="s">
        <v>92</v>
      </c>
      <c r="M4" s="36" t="n">
        <v>2022</v>
      </c>
      <c r="N4" s="36" t="n">
        <v>20</v>
      </c>
      <c r="O4" s="36" t="n">
        <v>20</v>
      </c>
      <c r="P4" s="37" t="n">
        <v>10000</v>
      </c>
      <c r="Q4" s="37" t="n">
        <v>10000</v>
      </c>
      <c r="R4" s="36" t="s">
        <v>52</v>
      </c>
      <c r="S4" s="36" t="s">
        <v>93</v>
      </c>
      <c r="T4" s="36" t="s">
        <v>94</v>
      </c>
      <c r="U4" s="44" t="n">
        <v>44645</v>
      </c>
      <c r="V4" s="38" t="n">
        <v>45657</v>
      </c>
      <c r="W4" s="38" t="n">
        <v>45623</v>
      </c>
      <c r="X4" s="39" t="n">
        <v>0.862</v>
      </c>
    </row>
    <row r="5" customFormat="false" ht="15.75" hidden="false" customHeight="false" outlineLevel="0" collapsed="false">
      <c r="A5" s="36" t="s">
        <v>29</v>
      </c>
      <c r="B5" s="36" t="s">
        <v>4</v>
      </c>
      <c r="C5" s="36" t="s">
        <v>30</v>
      </c>
      <c r="D5" s="36" t="s">
        <v>61</v>
      </c>
      <c r="E5" s="36" t="s">
        <v>32</v>
      </c>
      <c r="F5" s="36" t="s">
        <v>90</v>
      </c>
      <c r="G5" s="36" t="s">
        <v>33</v>
      </c>
      <c r="H5" s="36" t="s">
        <v>47</v>
      </c>
      <c r="I5" s="36" t="s">
        <v>95</v>
      </c>
      <c r="J5" s="36" t="s">
        <v>63</v>
      </c>
      <c r="K5" s="36" t="s">
        <v>64</v>
      </c>
      <c r="L5" s="36" t="s">
        <v>96</v>
      </c>
      <c r="M5" s="36" t="n">
        <v>2022</v>
      </c>
      <c r="N5" s="36" t="n">
        <v>38</v>
      </c>
      <c r="O5" s="36" t="n">
        <v>38</v>
      </c>
      <c r="P5" s="37" t="n">
        <v>19000</v>
      </c>
      <c r="Q5" s="37" t="n">
        <v>19000</v>
      </c>
      <c r="R5" s="36" t="s">
        <v>52</v>
      </c>
      <c r="S5" s="36" t="s">
        <v>93</v>
      </c>
      <c r="T5" s="36" t="s">
        <v>94</v>
      </c>
      <c r="U5" s="44" t="n">
        <v>44645</v>
      </c>
      <c r="V5" s="38" t="n">
        <v>45657</v>
      </c>
      <c r="W5" s="38" t="n">
        <v>45617</v>
      </c>
      <c r="X5" s="39" t="n">
        <v>0.8752</v>
      </c>
    </row>
    <row r="6" customFormat="false" ht="28.35" hidden="false" customHeight="false" outlineLevel="0" collapsed="false">
      <c r="A6" s="36" t="s">
        <v>29</v>
      </c>
      <c r="B6" s="36" t="s">
        <v>4</v>
      </c>
      <c r="C6" s="36" t="s">
        <v>30</v>
      </c>
      <c r="D6" s="36" t="s">
        <v>97</v>
      </c>
      <c r="E6" s="36" t="s">
        <v>79</v>
      </c>
      <c r="F6" s="36" t="s">
        <v>90</v>
      </c>
      <c r="G6" s="36" t="s">
        <v>80</v>
      </c>
      <c r="H6" s="36" t="s">
        <v>47</v>
      </c>
      <c r="I6" s="36" t="s">
        <v>98</v>
      </c>
      <c r="J6" s="36" t="s">
        <v>99</v>
      </c>
      <c r="K6" s="36" t="s">
        <v>100</v>
      </c>
      <c r="L6" s="36" t="s">
        <v>101</v>
      </c>
      <c r="M6" s="36" t="n">
        <v>2022</v>
      </c>
      <c r="N6" s="36" t="n">
        <v>10</v>
      </c>
      <c r="O6" s="36" t="n">
        <v>10</v>
      </c>
      <c r="P6" s="37" t="n">
        <v>5000</v>
      </c>
      <c r="Q6" s="37" t="n">
        <v>5000</v>
      </c>
      <c r="R6" s="36" t="s">
        <v>52</v>
      </c>
      <c r="S6" s="36" t="s">
        <v>93</v>
      </c>
      <c r="T6" s="36" t="s">
        <v>94</v>
      </c>
      <c r="U6" s="44" t="n">
        <v>44645</v>
      </c>
      <c r="V6" s="38" t="n">
        <v>45657</v>
      </c>
      <c r="W6" s="38" t="n">
        <v>45624</v>
      </c>
      <c r="X6" s="39" t="n">
        <v>0.8664</v>
      </c>
    </row>
    <row r="7" customFormat="false" ht="15.75" hidden="false" customHeight="false" outlineLevel="0" collapsed="false">
      <c r="A7" s="36" t="s">
        <v>29</v>
      </c>
      <c r="B7" s="36" t="s">
        <v>4</v>
      </c>
      <c r="C7" s="36" t="s">
        <v>43</v>
      </c>
      <c r="D7" s="36" t="s">
        <v>44</v>
      </c>
      <c r="E7" s="36" t="s">
        <v>45</v>
      </c>
      <c r="F7" s="36" t="s">
        <v>90</v>
      </c>
      <c r="G7" s="36" t="s">
        <v>80</v>
      </c>
      <c r="H7" s="36" t="s">
        <v>47</v>
      </c>
      <c r="I7" s="36" t="s">
        <v>102</v>
      </c>
      <c r="J7" s="36" t="s">
        <v>49</v>
      </c>
      <c r="K7" s="36" t="s">
        <v>50</v>
      </c>
      <c r="L7" s="36" t="s">
        <v>103</v>
      </c>
      <c r="M7" s="36" t="n">
        <v>2022</v>
      </c>
      <c r="N7" s="36" t="n">
        <v>10</v>
      </c>
      <c r="O7" s="36" t="n">
        <v>10</v>
      </c>
      <c r="P7" s="37" t="n">
        <v>5000</v>
      </c>
      <c r="Q7" s="37" t="n">
        <v>5000</v>
      </c>
      <c r="R7" s="36" t="s">
        <v>52</v>
      </c>
      <c r="S7" s="36" t="s">
        <v>93</v>
      </c>
      <c r="T7" s="36" t="s">
        <v>94</v>
      </c>
      <c r="U7" s="44" t="n">
        <v>44645</v>
      </c>
      <c r="V7" s="38" t="n">
        <v>45657</v>
      </c>
      <c r="W7" s="38" t="n">
        <v>45623</v>
      </c>
      <c r="X7" s="39" t="n">
        <v>0.8978</v>
      </c>
    </row>
  </sheetData>
  <mergeCells count="2">
    <mergeCell ref="U2:V2"/>
    <mergeCell ref="W2:X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3" topLeftCell="A4" activePane="bottomLeft" state="frozen"/>
      <selection pane="topLeft" activeCell="A1" activeCellId="0" sqref="A1"/>
      <selection pane="bottomLeft" activeCell="C10" activeCellId="0" sqref="C10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2" min="2" style="19" width="14.11"/>
    <col collapsed="false" customWidth="true" hidden="false" outlineLevel="0" max="3" min="3" style="19" width="18.79"/>
    <col collapsed="false" customWidth="true" hidden="false" outlineLevel="0" max="7" min="7" style="19" width="26.77"/>
    <col collapsed="false" customWidth="true" hidden="false" outlineLevel="0" max="9" min="9" style="19" width="26"/>
    <col collapsed="false" customWidth="true" hidden="false" outlineLevel="0" max="10" min="10" style="19" width="38"/>
    <col collapsed="false" customWidth="true" hidden="false" outlineLevel="0" max="11" min="11" style="19" width="21"/>
    <col collapsed="false" customWidth="true" hidden="false" outlineLevel="0" max="12" min="12" style="19" width="25.67"/>
    <col collapsed="false" customWidth="true" hidden="false" outlineLevel="0" max="19" min="19" style="19" width="23.88"/>
    <col collapsed="false" customWidth="true" hidden="false" outlineLevel="0" max="20" min="20" style="19" width="51.11"/>
    <col collapsed="false" customWidth="true" hidden="false" outlineLevel="0" max="21" min="21" style="19" width="22.76"/>
    <col collapsed="false" customWidth="true" hidden="false" outlineLevel="0" max="25" min="25" style="19" width="19.67"/>
  </cols>
  <sheetData>
    <row r="1" customFormat="false" ht="15.75" hidden="false" customHeight="false" outlineLevel="0" collapsed="false">
      <c r="A1" s="20" t="s">
        <v>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customFormat="false" ht="25.5" hidden="false" customHeight="true" outlineLevel="0" collapsed="false">
      <c r="A2" s="41" t="s">
        <v>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3"/>
      <c r="U2" s="26"/>
      <c r="V2" s="26"/>
      <c r="W2" s="26"/>
      <c r="X2" s="26"/>
      <c r="Y2" s="26"/>
      <c r="Z2" s="26"/>
    </row>
    <row r="3" customFormat="false" ht="68.65" hidden="false" customHeight="false" outlineLevel="0" collapsed="false">
      <c r="A3" s="27" t="s">
        <v>7</v>
      </c>
      <c r="B3" s="28" t="s">
        <v>2</v>
      </c>
      <c r="C3" s="28" t="s">
        <v>8</v>
      </c>
      <c r="D3" s="27" t="s">
        <v>9</v>
      </c>
      <c r="E3" s="27" t="s">
        <v>10</v>
      </c>
      <c r="F3" s="29" t="s">
        <v>11</v>
      </c>
      <c r="G3" s="30" t="s">
        <v>12</v>
      </c>
      <c r="H3" s="30" t="s">
        <v>13</v>
      </c>
      <c r="I3" s="31" t="s">
        <v>14</v>
      </c>
      <c r="J3" s="28" t="s">
        <v>15</v>
      </c>
      <c r="K3" s="28" t="s">
        <v>16</v>
      </c>
      <c r="L3" s="28" t="s">
        <v>17</v>
      </c>
      <c r="M3" s="32" t="s">
        <v>1</v>
      </c>
      <c r="N3" s="28" t="s">
        <v>18</v>
      </c>
      <c r="O3" s="28" t="s">
        <v>19</v>
      </c>
      <c r="P3" s="33" t="s">
        <v>20</v>
      </c>
      <c r="Q3" s="33" t="s">
        <v>21</v>
      </c>
      <c r="R3" s="27" t="s">
        <v>22</v>
      </c>
      <c r="S3" s="28" t="s">
        <v>23</v>
      </c>
      <c r="T3" s="28" t="s">
        <v>24</v>
      </c>
      <c r="U3" s="34" t="s">
        <v>26</v>
      </c>
      <c r="V3" s="34" t="s">
        <v>104</v>
      </c>
      <c r="W3" s="34" t="s">
        <v>105</v>
      </c>
      <c r="X3" s="34" t="s">
        <v>106</v>
      </c>
      <c r="Y3" s="35" t="s">
        <v>27</v>
      </c>
      <c r="Z3" s="35" t="s">
        <v>28</v>
      </c>
    </row>
    <row r="4" customFormat="false" ht="28.5" hidden="false" customHeight="true" outlineLevel="0" collapsed="false">
      <c r="A4" s="45" t="s">
        <v>29</v>
      </c>
      <c r="B4" s="45" t="s">
        <v>4</v>
      </c>
      <c r="C4" s="45" t="s">
        <v>43</v>
      </c>
      <c r="D4" s="45" t="s">
        <v>107</v>
      </c>
      <c r="E4" s="45" t="s">
        <v>45</v>
      </c>
      <c r="F4" s="45" t="s">
        <v>108</v>
      </c>
      <c r="G4" s="45" t="s">
        <v>109</v>
      </c>
      <c r="H4" s="45" t="s">
        <v>47</v>
      </c>
      <c r="I4" s="45" t="s">
        <v>110</v>
      </c>
      <c r="J4" s="45" t="s">
        <v>111</v>
      </c>
      <c r="K4" s="45" t="s">
        <v>112</v>
      </c>
      <c r="L4" s="45" t="s">
        <v>113</v>
      </c>
      <c r="M4" s="45" t="n">
        <v>2023</v>
      </c>
      <c r="N4" s="45" t="n">
        <v>50</v>
      </c>
      <c r="O4" s="45" t="n">
        <v>50</v>
      </c>
      <c r="P4" s="46" t="n">
        <v>60040</v>
      </c>
      <c r="Q4" s="46" t="n">
        <v>60040</v>
      </c>
      <c r="R4" s="45" t="s">
        <v>52</v>
      </c>
      <c r="S4" s="45" t="s">
        <v>114</v>
      </c>
      <c r="T4" s="45" t="s">
        <v>115</v>
      </c>
      <c r="U4" s="47" t="n">
        <v>46021</v>
      </c>
      <c r="V4" s="45" t="n">
        <v>1</v>
      </c>
      <c r="W4" s="45"/>
      <c r="X4" s="45"/>
      <c r="Y4" s="47" t="n">
        <v>45982</v>
      </c>
      <c r="Z4" s="48" t="n">
        <v>0.8624</v>
      </c>
    </row>
  </sheetData>
  <mergeCells count="2">
    <mergeCell ref="U2:X2"/>
    <mergeCell ref="Y2:Z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3" topLeftCell="A4" activePane="bottomLeft" state="frozen"/>
      <selection pane="topLeft" activeCell="A1" activeCellId="0" sqref="A1"/>
      <selection pane="bottomLeft" activeCell="D4" activeCellId="0" sqref="D4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2" min="2" style="19" width="14.11"/>
    <col collapsed="false" customWidth="true" hidden="false" outlineLevel="0" max="3" min="3" style="19" width="18.79"/>
    <col collapsed="false" customWidth="true" hidden="false" outlineLevel="0" max="7" min="7" style="19" width="26.77"/>
    <col collapsed="false" customWidth="true" hidden="false" outlineLevel="0" max="9" min="9" style="19" width="26"/>
    <col collapsed="false" customWidth="true" hidden="false" outlineLevel="0" max="10" min="10" style="19" width="38"/>
    <col collapsed="false" customWidth="true" hidden="false" outlineLevel="0" max="11" min="11" style="19" width="21"/>
    <col collapsed="false" customWidth="true" hidden="false" outlineLevel="0" max="12" min="12" style="19" width="25.67"/>
    <col collapsed="false" customWidth="true" hidden="false" outlineLevel="0" max="19" min="19" style="19" width="23.88"/>
    <col collapsed="false" customWidth="true" hidden="false" outlineLevel="0" max="20" min="20" style="19" width="51.11"/>
    <col collapsed="false" customWidth="true" hidden="false" outlineLevel="0" max="21" min="21" style="19" width="22.76"/>
    <col collapsed="false" customWidth="true" hidden="false" outlineLevel="0" max="25" min="25" style="19" width="19.67"/>
  </cols>
  <sheetData>
    <row r="1" customFormat="false" ht="15.75" hidden="false" customHeight="false" outlineLevel="0" collapsed="false">
      <c r="A1" s="20" t="s">
        <v>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customFormat="false" ht="25.5" hidden="false" customHeight="true" outlineLevel="0" collapsed="false">
      <c r="A2" s="41" t="s">
        <v>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3"/>
      <c r="U2" s="26"/>
      <c r="V2" s="26"/>
      <c r="W2" s="26"/>
      <c r="X2" s="26"/>
      <c r="Y2" s="26"/>
      <c r="Z2" s="26"/>
    </row>
    <row r="3" customFormat="false" ht="68.65" hidden="false" customHeight="false" outlineLevel="0" collapsed="false">
      <c r="A3" s="27" t="s">
        <v>7</v>
      </c>
      <c r="B3" s="28" t="s">
        <v>2</v>
      </c>
      <c r="C3" s="28" t="s">
        <v>8</v>
      </c>
      <c r="D3" s="27" t="s">
        <v>9</v>
      </c>
      <c r="E3" s="27" t="s">
        <v>10</v>
      </c>
      <c r="F3" s="29" t="s">
        <v>11</v>
      </c>
      <c r="G3" s="30" t="s">
        <v>12</v>
      </c>
      <c r="H3" s="30" t="s">
        <v>13</v>
      </c>
      <c r="I3" s="31" t="s">
        <v>14</v>
      </c>
      <c r="J3" s="28" t="s">
        <v>15</v>
      </c>
      <c r="K3" s="28" t="s">
        <v>16</v>
      </c>
      <c r="L3" s="28" t="s">
        <v>17</v>
      </c>
      <c r="M3" s="32" t="s">
        <v>1</v>
      </c>
      <c r="N3" s="28" t="s">
        <v>18</v>
      </c>
      <c r="O3" s="28" t="s">
        <v>19</v>
      </c>
      <c r="P3" s="33" t="s">
        <v>20</v>
      </c>
      <c r="Q3" s="33" t="s">
        <v>21</v>
      </c>
      <c r="R3" s="27" t="s">
        <v>22</v>
      </c>
      <c r="S3" s="28" t="s">
        <v>23</v>
      </c>
      <c r="T3" s="28" t="s">
        <v>24</v>
      </c>
      <c r="U3" s="34" t="s">
        <v>26</v>
      </c>
      <c r="V3" s="34" t="s">
        <v>104</v>
      </c>
      <c r="W3" s="34" t="s">
        <v>105</v>
      </c>
      <c r="X3" s="34" t="s">
        <v>106</v>
      </c>
      <c r="Y3" s="35" t="s">
        <v>27</v>
      </c>
      <c r="Z3" s="35" t="s">
        <v>28</v>
      </c>
    </row>
    <row r="4" customFormat="false" ht="28.5" hidden="false" customHeight="true" outlineLevel="0" collapsed="false">
      <c r="A4" s="45" t="s">
        <v>29</v>
      </c>
      <c r="B4" s="45" t="s">
        <v>4</v>
      </c>
      <c r="C4" s="45" t="s">
        <v>43</v>
      </c>
      <c r="D4" s="45" t="s">
        <v>116</v>
      </c>
      <c r="E4" s="45" t="s">
        <v>4</v>
      </c>
      <c r="F4" s="45" t="s">
        <v>90</v>
      </c>
      <c r="G4" s="45" t="s">
        <v>117</v>
      </c>
      <c r="H4" s="45" t="s">
        <v>47</v>
      </c>
      <c r="I4" s="45" t="s">
        <v>118</v>
      </c>
      <c r="J4" s="45" t="s">
        <v>119</v>
      </c>
      <c r="K4" s="45" t="s">
        <v>120</v>
      </c>
      <c r="L4" s="45" t="s">
        <v>118</v>
      </c>
      <c r="M4" s="45" t="n">
        <v>2026</v>
      </c>
      <c r="N4" s="45" t="n">
        <v>1</v>
      </c>
      <c r="O4" s="45" t="n">
        <v>1</v>
      </c>
      <c r="P4" s="46" t="n">
        <v>50</v>
      </c>
      <c r="Q4" s="46" t="n">
        <v>50</v>
      </c>
      <c r="R4" s="45" t="s">
        <v>52</v>
      </c>
      <c r="S4" s="45" t="s">
        <v>114</v>
      </c>
      <c r="T4" s="45" t="s">
        <v>115</v>
      </c>
      <c r="U4" s="47" t="n">
        <v>47460</v>
      </c>
      <c r="V4" s="45" t="n">
        <v>1</v>
      </c>
      <c r="W4" s="45"/>
      <c r="X4" s="45"/>
      <c r="Y4" s="47" t="n">
        <v>47443</v>
      </c>
      <c r="Z4" s="48" t="n">
        <v>0.8624</v>
      </c>
    </row>
  </sheetData>
  <mergeCells count="2">
    <mergeCell ref="U2:X2"/>
    <mergeCell ref="Y2:Z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5" min="5" style="19" width="20.66"/>
    <col collapsed="false" customWidth="true" hidden="false" outlineLevel="0" max="6" min="6" style="19" width="42.34"/>
    <col collapsed="false" customWidth="true" hidden="false" outlineLevel="0" max="8" min="7" style="19" width="15.44"/>
    <col collapsed="false" customWidth="true" hidden="false" outlineLevel="0" max="9" min="9" style="19" width="35.33"/>
  </cols>
  <sheetData>
    <row r="1" customFormat="false" ht="15.75" hidden="false" customHeight="true" outlineLevel="0" collapsed="false">
      <c r="A1" s="49" t="s">
        <v>121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customFormat="false" ht="15.75" hidden="false" customHeight="true" outlineLevel="0" collapsed="false">
      <c r="A2" s="49" t="s">
        <v>122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customFormat="false" ht="15.75" hidden="false" customHeight="false" outlineLevel="0" collapsed="false">
      <c r="A3" s="50"/>
      <c r="B3" s="50"/>
      <c r="C3" s="50"/>
      <c r="D3" s="50"/>
      <c r="E3" s="50"/>
      <c r="F3" s="50"/>
      <c r="G3" s="50"/>
      <c r="H3" s="50"/>
      <c r="I3" s="50"/>
      <c r="J3" s="51"/>
      <c r="K3" s="51"/>
    </row>
    <row r="4" customFormat="false" ht="15.75" hidden="false" customHeight="true" outlineLevel="0" collapsed="false">
      <c r="A4" s="52" t="s">
        <v>123</v>
      </c>
      <c r="B4" s="52"/>
      <c r="C4" s="52"/>
      <c r="D4" s="52"/>
      <c r="E4" s="52"/>
      <c r="F4" s="52"/>
      <c r="G4" s="52"/>
      <c r="H4" s="52"/>
      <c r="I4" s="52"/>
      <c r="J4" s="52"/>
      <c r="K4" s="52"/>
    </row>
    <row r="5" customFormat="false" ht="15.75" hidden="false" customHeight="false" outlineLevel="0" collapsed="false">
      <c r="A5" s="50"/>
      <c r="B5" s="50"/>
      <c r="C5" s="50"/>
      <c r="D5" s="50"/>
      <c r="E5" s="50"/>
      <c r="F5" s="50"/>
      <c r="G5" s="50"/>
      <c r="H5" s="50"/>
      <c r="I5" s="50"/>
      <c r="J5" s="51"/>
      <c r="K5" s="51"/>
    </row>
    <row r="6" customFormat="false" ht="15.75" hidden="false" customHeight="true" outlineLevel="0" collapsed="false">
      <c r="A6" s="53" t="s">
        <v>124</v>
      </c>
      <c r="B6" s="53" t="s">
        <v>125</v>
      </c>
      <c r="C6" s="53" t="s">
        <v>126</v>
      </c>
      <c r="D6" s="53" t="s">
        <v>127</v>
      </c>
      <c r="E6" s="53" t="s">
        <v>128</v>
      </c>
      <c r="F6" s="53" t="s">
        <v>129</v>
      </c>
      <c r="G6" s="53" t="s">
        <v>130</v>
      </c>
      <c r="H6" s="53" t="s">
        <v>131</v>
      </c>
      <c r="I6" s="53" t="s">
        <v>132</v>
      </c>
      <c r="J6" s="54" t="s">
        <v>133</v>
      </c>
      <c r="K6" s="54" t="s">
        <v>134</v>
      </c>
    </row>
    <row r="7" customFormat="false" ht="15.75" hidden="false" customHeight="true" outlineLevel="0" collapsed="false">
      <c r="A7" s="55" t="s">
        <v>135</v>
      </c>
      <c r="B7" s="55" t="s">
        <v>136</v>
      </c>
      <c r="C7" s="55"/>
      <c r="D7" s="55" t="s">
        <v>137</v>
      </c>
      <c r="E7" s="55" t="s">
        <v>138</v>
      </c>
      <c r="F7" s="55" t="s">
        <v>139</v>
      </c>
      <c r="G7" s="55"/>
      <c r="H7" s="55" t="s">
        <v>140</v>
      </c>
      <c r="I7" s="55" t="s">
        <v>141</v>
      </c>
      <c r="J7" s="56" t="s">
        <v>142</v>
      </c>
      <c r="K7" s="56"/>
    </row>
    <row r="8" customFormat="false" ht="15.75" hidden="false" customHeight="true" outlineLevel="0" collapsed="false">
      <c r="A8" s="55" t="s">
        <v>29</v>
      </c>
      <c r="B8" s="55" t="s">
        <v>4</v>
      </c>
      <c r="C8" s="55" t="s">
        <v>97</v>
      </c>
      <c r="D8" s="55" t="s">
        <v>79</v>
      </c>
      <c r="E8" s="55" t="s">
        <v>143</v>
      </c>
      <c r="F8" s="55" t="s">
        <v>144</v>
      </c>
      <c r="G8" s="55" t="n">
        <v>2020</v>
      </c>
      <c r="H8" s="55" t="s">
        <v>40</v>
      </c>
      <c r="I8" s="55" t="s">
        <v>145</v>
      </c>
      <c r="J8" s="55" t="n">
        <v>15</v>
      </c>
      <c r="K8" s="55" t="n">
        <v>2</v>
      </c>
    </row>
    <row r="9" customFormat="false" ht="15.75" hidden="false" customHeight="true" outlineLevel="0" collapsed="false">
      <c r="A9" s="55" t="s">
        <v>29</v>
      </c>
      <c r="B9" s="55" t="s">
        <v>4</v>
      </c>
      <c r="C9" s="55" t="s">
        <v>55</v>
      </c>
      <c r="D9" s="55" t="s">
        <v>32</v>
      </c>
      <c r="E9" s="55" t="s">
        <v>146</v>
      </c>
      <c r="F9" s="55" t="s">
        <v>147</v>
      </c>
      <c r="G9" s="55" t="n">
        <v>2020</v>
      </c>
      <c r="H9" s="55" t="s">
        <v>40</v>
      </c>
      <c r="I9" s="55" t="s">
        <v>145</v>
      </c>
      <c r="J9" s="55" t="n">
        <v>25</v>
      </c>
      <c r="K9" s="55" t="n">
        <v>3</v>
      </c>
    </row>
    <row r="10" customFormat="false" ht="15.75" hidden="false" customHeight="true" outlineLevel="0" collapsed="false">
      <c r="A10" s="55" t="s">
        <v>29</v>
      </c>
      <c r="B10" s="55" t="s">
        <v>4</v>
      </c>
      <c r="C10" s="55" t="s">
        <v>55</v>
      </c>
      <c r="D10" s="55" t="s">
        <v>32</v>
      </c>
      <c r="E10" s="55" t="s">
        <v>148</v>
      </c>
      <c r="F10" s="55" t="s">
        <v>147</v>
      </c>
      <c r="G10" s="55" t="n">
        <v>2020</v>
      </c>
      <c r="H10" s="55" t="s">
        <v>40</v>
      </c>
      <c r="I10" s="55" t="s">
        <v>145</v>
      </c>
      <c r="J10" s="55" t="n">
        <v>20</v>
      </c>
      <c r="K10" s="55" t="n">
        <v>3</v>
      </c>
    </row>
    <row r="11" customFormat="false" ht="15.75" hidden="false" customHeight="true" outlineLevel="0" collapsed="false">
      <c r="A11" s="55" t="s">
        <v>29</v>
      </c>
      <c r="B11" s="55" t="s">
        <v>4</v>
      </c>
      <c r="C11" s="55" t="s">
        <v>55</v>
      </c>
      <c r="D11" s="55" t="s">
        <v>32</v>
      </c>
      <c r="E11" s="55" t="s">
        <v>149</v>
      </c>
      <c r="F11" s="55" t="s">
        <v>147</v>
      </c>
      <c r="G11" s="55" t="n">
        <v>2020</v>
      </c>
      <c r="H11" s="55" t="s">
        <v>40</v>
      </c>
      <c r="I11" s="55" t="s">
        <v>145</v>
      </c>
      <c r="J11" s="55" t="n">
        <v>20</v>
      </c>
      <c r="K11" s="55" t="n">
        <v>3</v>
      </c>
    </row>
    <row r="12" customFormat="false" ht="15.75" hidden="false" customHeight="true" outlineLevel="0" collapsed="false">
      <c r="A12" s="55" t="s">
        <v>29</v>
      </c>
      <c r="B12" s="55" t="s">
        <v>4</v>
      </c>
      <c r="C12" s="55" t="s">
        <v>55</v>
      </c>
      <c r="D12" s="55" t="s">
        <v>32</v>
      </c>
      <c r="E12" s="55" t="s">
        <v>150</v>
      </c>
      <c r="F12" s="55" t="s">
        <v>147</v>
      </c>
      <c r="G12" s="55" t="n">
        <v>2020</v>
      </c>
      <c r="H12" s="55" t="s">
        <v>40</v>
      </c>
      <c r="I12" s="55" t="s">
        <v>145</v>
      </c>
      <c r="J12" s="55" t="n">
        <v>20</v>
      </c>
      <c r="K12" s="55" t="n">
        <v>3</v>
      </c>
    </row>
    <row r="13" customFormat="false" ht="15.75" hidden="false" customHeight="true" outlineLevel="0" collapsed="false">
      <c r="A13" s="55" t="s">
        <v>29</v>
      </c>
      <c r="B13" s="55" t="s">
        <v>4</v>
      </c>
      <c r="C13" s="55" t="s">
        <v>151</v>
      </c>
      <c r="D13" s="55" t="s">
        <v>32</v>
      </c>
      <c r="E13" s="55" t="s">
        <v>152</v>
      </c>
      <c r="F13" s="55" t="s">
        <v>153</v>
      </c>
      <c r="G13" s="55" t="n">
        <v>2020</v>
      </c>
      <c r="H13" s="55" t="s">
        <v>40</v>
      </c>
      <c r="I13" s="55" t="s">
        <v>154</v>
      </c>
      <c r="J13" s="55" t="n">
        <v>25</v>
      </c>
      <c r="K13" s="55" t="n">
        <v>3</v>
      </c>
    </row>
    <row r="14" customFormat="false" ht="15.75" hidden="false" customHeight="true" outlineLevel="0" collapsed="false">
      <c r="A14" s="55" t="s">
        <v>29</v>
      </c>
      <c r="B14" s="55" t="s">
        <v>4</v>
      </c>
      <c r="C14" s="55" t="s">
        <v>151</v>
      </c>
      <c r="D14" s="55" t="s">
        <v>32</v>
      </c>
      <c r="E14" s="55" t="s">
        <v>155</v>
      </c>
      <c r="F14" s="55" t="s">
        <v>153</v>
      </c>
      <c r="G14" s="55" t="n">
        <v>2020</v>
      </c>
      <c r="H14" s="55" t="s">
        <v>40</v>
      </c>
      <c r="I14" s="55" t="s">
        <v>154</v>
      </c>
      <c r="J14" s="55" t="n">
        <v>25</v>
      </c>
      <c r="K14" s="55" t="n">
        <v>3</v>
      </c>
    </row>
    <row r="15" customFormat="false" ht="15.75" hidden="false" customHeight="true" outlineLevel="0" collapsed="false">
      <c r="A15" s="55" t="s">
        <v>29</v>
      </c>
      <c r="B15" s="55" t="s">
        <v>4</v>
      </c>
      <c r="C15" s="55" t="s">
        <v>151</v>
      </c>
      <c r="D15" s="55" t="s">
        <v>32</v>
      </c>
      <c r="E15" s="55" t="s">
        <v>156</v>
      </c>
      <c r="F15" s="55" t="s">
        <v>153</v>
      </c>
      <c r="G15" s="55" t="n">
        <v>2020</v>
      </c>
      <c r="H15" s="55" t="s">
        <v>40</v>
      </c>
      <c r="I15" s="55" t="s">
        <v>154</v>
      </c>
      <c r="J15" s="55" t="n">
        <v>25</v>
      </c>
      <c r="K15" s="55" t="n">
        <v>3</v>
      </c>
    </row>
    <row r="16" customFormat="false" ht="15.75" hidden="false" customHeight="true" outlineLevel="0" collapsed="false">
      <c r="A16" s="55" t="s">
        <v>29</v>
      </c>
      <c r="B16" s="55" t="s">
        <v>4</v>
      </c>
      <c r="C16" s="55" t="s">
        <v>151</v>
      </c>
      <c r="D16" s="55" t="s">
        <v>32</v>
      </c>
      <c r="E16" s="55" t="s">
        <v>157</v>
      </c>
      <c r="F16" s="55" t="s">
        <v>153</v>
      </c>
      <c r="G16" s="55" t="n">
        <v>2020</v>
      </c>
      <c r="H16" s="55" t="s">
        <v>40</v>
      </c>
      <c r="I16" s="55" t="s">
        <v>154</v>
      </c>
      <c r="J16" s="55" t="n">
        <v>25</v>
      </c>
      <c r="K16" s="55" t="n">
        <v>3</v>
      </c>
    </row>
    <row r="17" customFormat="false" ht="15.75" hidden="false" customHeight="true" outlineLevel="0" collapsed="false">
      <c r="A17" s="55" t="s">
        <v>29</v>
      </c>
      <c r="B17" s="55" t="s">
        <v>4</v>
      </c>
      <c r="C17" s="55" t="s">
        <v>44</v>
      </c>
      <c r="D17" s="55" t="s">
        <v>45</v>
      </c>
      <c r="E17" s="55" t="s">
        <v>158</v>
      </c>
      <c r="F17" s="55" t="s">
        <v>49</v>
      </c>
      <c r="G17" s="55" t="n">
        <v>2020</v>
      </c>
      <c r="H17" s="55" t="s">
        <v>52</v>
      </c>
      <c r="I17" s="55" t="s">
        <v>54</v>
      </c>
      <c r="J17" s="55" t="n">
        <v>15</v>
      </c>
      <c r="K17" s="55" t="n">
        <v>2</v>
      </c>
    </row>
    <row r="18" customFormat="false" ht="15.75" hidden="false" customHeight="true" outlineLevel="0" collapsed="false">
      <c r="A18" s="55" t="s">
        <v>29</v>
      </c>
      <c r="B18" s="55" t="s">
        <v>4</v>
      </c>
      <c r="C18" s="55" t="s">
        <v>44</v>
      </c>
      <c r="D18" s="55" t="s">
        <v>45</v>
      </c>
      <c r="E18" s="55" t="s">
        <v>159</v>
      </c>
      <c r="F18" s="55" t="s">
        <v>49</v>
      </c>
      <c r="G18" s="55" t="n">
        <v>2020</v>
      </c>
      <c r="H18" s="55" t="s">
        <v>52</v>
      </c>
      <c r="I18" s="55" t="s">
        <v>54</v>
      </c>
      <c r="J18" s="55" t="n">
        <v>15</v>
      </c>
      <c r="K18" s="55" t="n">
        <v>2</v>
      </c>
    </row>
    <row r="19" customFormat="false" ht="15.75" hidden="false" customHeight="true" outlineLevel="0" collapsed="false">
      <c r="A19" s="55" t="s">
        <v>29</v>
      </c>
      <c r="B19" s="55" t="s">
        <v>4</v>
      </c>
      <c r="C19" s="55" t="s">
        <v>72</v>
      </c>
      <c r="D19" s="55" t="s">
        <v>73</v>
      </c>
      <c r="E19" s="55" t="s">
        <v>160</v>
      </c>
      <c r="F19" s="55" t="s">
        <v>161</v>
      </c>
      <c r="G19" s="55" t="n">
        <v>2020</v>
      </c>
      <c r="H19" s="55" t="s">
        <v>40</v>
      </c>
      <c r="I19" s="55" t="s">
        <v>41</v>
      </c>
      <c r="J19" s="55" t="n">
        <v>20</v>
      </c>
      <c r="K19" s="55" t="n">
        <v>3</v>
      </c>
    </row>
    <row r="20" customFormat="false" ht="15.75" hidden="false" customHeight="true" outlineLevel="0" collapsed="false">
      <c r="A20" s="55" t="s">
        <v>29</v>
      </c>
      <c r="B20" s="55" t="s">
        <v>4</v>
      </c>
      <c r="C20" s="55" t="s">
        <v>151</v>
      </c>
      <c r="D20" s="55" t="s">
        <v>32</v>
      </c>
      <c r="E20" s="55" t="s">
        <v>162</v>
      </c>
      <c r="F20" s="55" t="s">
        <v>163</v>
      </c>
      <c r="G20" s="55" t="n">
        <v>2020</v>
      </c>
      <c r="H20" s="55" t="s">
        <v>53</v>
      </c>
      <c r="I20" s="55" t="s">
        <v>164</v>
      </c>
      <c r="J20" s="55" t="n">
        <v>21</v>
      </c>
      <c r="K20" s="55" t="n">
        <v>3</v>
      </c>
    </row>
    <row r="21" customFormat="false" ht="15.75" hidden="false" customHeight="true" outlineLevel="0" collapsed="false">
      <c r="A21" s="55" t="s">
        <v>29</v>
      </c>
      <c r="B21" s="55" t="s">
        <v>4</v>
      </c>
      <c r="C21" s="55" t="s">
        <v>151</v>
      </c>
      <c r="D21" s="55" t="s">
        <v>32</v>
      </c>
      <c r="E21" s="55" t="s">
        <v>165</v>
      </c>
      <c r="F21" s="55" t="s">
        <v>163</v>
      </c>
      <c r="G21" s="55" t="n">
        <v>2020</v>
      </c>
      <c r="H21" s="55" t="s">
        <v>53</v>
      </c>
      <c r="I21" s="55" t="s">
        <v>164</v>
      </c>
      <c r="J21" s="55" t="n">
        <v>9</v>
      </c>
      <c r="K21" s="55" t="n">
        <v>2</v>
      </c>
    </row>
    <row r="22" customFormat="false" ht="15.75" hidden="false" customHeight="true" outlineLevel="0" collapsed="false">
      <c r="A22" s="55" t="s">
        <v>29</v>
      </c>
      <c r="B22" s="55" t="s">
        <v>4</v>
      </c>
      <c r="C22" s="55" t="s">
        <v>151</v>
      </c>
      <c r="D22" s="55" t="s">
        <v>32</v>
      </c>
      <c r="E22" s="55" t="s">
        <v>166</v>
      </c>
      <c r="F22" s="55" t="s">
        <v>163</v>
      </c>
      <c r="G22" s="55" t="n">
        <v>2020</v>
      </c>
      <c r="H22" s="55" t="s">
        <v>53</v>
      </c>
      <c r="I22" s="55" t="s">
        <v>164</v>
      </c>
      <c r="J22" s="55" t="n">
        <v>20</v>
      </c>
      <c r="K22" s="55" t="n">
        <v>3</v>
      </c>
    </row>
    <row r="23" customFormat="false" ht="15.75" hidden="false" customHeight="true" outlineLevel="0" collapsed="false">
      <c r="A23" s="55" t="s">
        <v>29</v>
      </c>
      <c r="B23" s="55" t="s">
        <v>4</v>
      </c>
      <c r="C23" s="55" t="s">
        <v>97</v>
      </c>
      <c r="D23" s="55" t="s">
        <v>79</v>
      </c>
      <c r="E23" s="55" t="s">
        <v>167</v>
      </c>
      <c r="F23" s="55" t="s">
        <v>168</v>
      </c>
      <c r="G23" s="55" t="n">
        <v>2020</v>
      </c>
      <c r="H23" s="55" t="s">
        <v>40</v>
      </c>
      <c r="I23" s="55" t="s">
        <v>41</v>
      </c>
      <c r="J23" s="55" t="n">
        <v>25</v>
      </c>
      <c r="K23" s="55" t="n">
        <v>3</v>
      </c>
    </row>
    <row r="24" customFormat="false" ht="15.75" hidden="false" customHeight="true" outlineLevel="0" collapsed="false">
      <c r="A24" s="55" t="s">
        <v>29</v>
      </c>
      <c r="B24" s="55" t="s">
        <v>4</v>
      </c>
      <c r="C24" s="55" t="s">
        <v>97</v>
      </c>
      <c r="D24" s="55" t="s">
        <v>79</v>
      </c>
      <c r="E24" s="55" t="s">
        <v>169</v>
      </c>
      <c r="F24" s="55" t="s">
        <v>168</v>
      </c>
      <c r="G24" s="55" t="n">
        <v>2020</v>
      </c>
      <c r="H24" s="55" t="s">
        <v>40</v>
      </c>
      <c r="I24" s="55" t="s">
        <v>41</v>
      </c>
      <c r="J24" s="55" t="n">
        <v>25</v>
      </c>
      <c r="K24" s="55" t="n">
        <v>3</v>
      </c>
    </row>
    <row r="25" customFormat="false" ht="15.75" hidden="false" customHeight="true" outlineLevel="0" collapsed="false">
      <c r="A25" s="55" t="s">
        <v>29</v>
      </c>
      <c r="B25" s="55" t="s">
        <v>4</v>
      </c>
      <c r="C25" s="55" t="s">
        <v>151</v>
      </c>
      <c r="D25" s="55" t="s">
        <v>32</v>
      </c>
      <c r="E25" s="55" t="s">
        <v>170</v>
      </c>
      <c r="F25" s="55" t="s">
        <v>171</v>
      </c>
      <c r="G25" s="55" t="n">
        <v>2020</v>
      </c>
      <c r="H25" s="55" t="s">
        <v>40</v>
      </c>
      <c r="I25" s="55" t="s">
        <v>41</v>
      </c>
      <c r="J25" s="55" t="n">
        <v>25</v>
      </c>
      <c r="K25" s="55" t="n">
        <v>3</v>
      </c>
    </row>
    <row r="26" customFormat="false" ht="15.75" hidden="false" customHeight="true" outlineLevel="0" collapsed="false">
      <c r="A26" s="55" t="s">
        <v>29</v>
      </c>
      <c r="B26" s="55" t="s">
        <v>4</v>
      </c>
      <c r="C26" s="55" t="s">
        <v>151</v>
      </c>
      <c r="D26" s="55" t="s">
        <v>32</v>
      </c>
      <c r="E26" s="55" t="s">
        <v>172</v>
      </c>
      <c r="F26" s="55" t="s">
        <v>171</v>
      </c>
      <c r="G26" s="55" t="n">
        <v>2020</v>
      </c>
      <c r="H26" s="55" t="s">
        <v>40</v>
      </c>
      <c r="I26" s="55" t="s">
        <v>41</v>
      </c>
      <c r="J26" s="55" t="n">
        <v>25</v>
      </c>
      <c r="K26" s="55" t="n">
        <v>3</v>
      </c>
    </row>
    <row r="27" customFormat="false" ht="26.85" hidden="false" customHeight="false" outlineLevel="0" collapsed="false">
      <c r="A27" s="55" t="s">
        <v>29</v>
      </c>
      <c r="B27" s="55" t="s">
        <v>4</v>
      </c>
      <c r="C27" s="55" t="s">
        <v>66</v>
      </c>
      <c r="D27" s="55" t="s">
        <v>67</v>
      </c>
      <c r="E27" s="55" t="s">
        <v>173</v>
      </c>
      <c r="F27" s="55" t="s">
        <v>174</v>
      </c>
      <c r="G27" s="55" t="n">
        <v>2020</v>
      </c>
      <c r="H27" s="55" t="s">
        <v>53</v>
      </c>
      <c r="I27" s="55" t="s">
        <v>175</v>
      </c>
      <c r="J27" s="55" t="n">
        <v>25</v>
      </c>
      <c r="K27" s="55" t="n">
        <v>3</v>
      </c>
    </row>
    <row r="28" customFormat="false" ht="26.85" hidden="false" customHeight="false" outlineLevel="0" collapsed="false">
      <c r="A28" s="55" t="s">
        <v>29</v>
      </c>
      <c r="B28" s="55" t="s">
        <v>4</v>
      </c>
      <c r="C28" s="55" t="s">
        <v>66</v>
      </c>
      <c r="D28" s="55" t="s">
        <v>67</v>
      </c>
      <c r="E28" s="55" t="s">
        <v>176</v>
      </c>
      <c r="F28" s="55" t="s">
        <v>174</v>
      </c>
      <c r="G28" s="55" t="n">
        <v>2020</v>
      </c>
      <c r="H28" s="55" t="s">
        <v>40</v>
      </c>
      <c r="I28" s="55" t="s">
        <v>41</v>
      </c>
      <c r="J28" s="55" t="n">
        <v>25</v>
      </c>
      <c r="K28" s="55" t="n">
        <v>3</v>
      </c>
    </row>
    <row r="29" customFormat="false" ht="26.85" hidden="false" customHeight="false" outlineLevel="0" collapsed="false">
      <c r="A29" s="55" t="s">
        <v>29</v>
      </c>
      <c r="B29" s="55" t="s">
        <v>4</v>
      </c>
      <c r="C29" s="55" t="s">
        <v>177</v>
      </c>
      <c r="D29" s="55" t="s">
        <v>178</v>
      </c>
      <c r="E29" s="55" t="s">
        <v>179</v>
      </c>
      <c r="F29" s="55" t="s">
        <v>161</v>
      </c>
      <c r="G29" s="55" t="n">
        <v>2020</v>
      </c>
      <c r="H29" s="55" t="s">
        <v>40</v>
      </c>
      <c r="I29" s="55" t="s">
        <v>180</v>
      </c>
      <c r="J29" s="55" t="n">
        <v>25</v>
      </c>
      <c r="K29" s="55" t="n">
        <v>3</v>
      </c>
    </row>
    <row r="30" customFormat="false" ht="26.85" hidden="false" customHeight="false" outlineLevel="0" collapsed="false">
      <c r="A30" s="55" t="s">
        <v>29</v>
      </c>
      <c r="B30" s="55" t="s">
        <v>4</v>
      </c>
      <c r="C30" s="55" t="s">
        <v>31</v>
      </c>
      <c r="D30" s="55" t="s">
        <v>32</v>
      </c>
      <c r="E30" s="55" t="s">
        <v>35</v>
      </c>
      <c r="F30" s="55" t="s">
        <v>181</v>
      </c>
      <c r="G30" s="55" t="n">
        <v>2021</v>
      </c>
      <c r="H30" s="55" t="s">
        <v>40</v>
      </c>
      <c r="I30" s="55" t="s">
        <v>41</v>
      </c>
      <c r="J30" s="55" t="n">
        <v>20</v>
      </c>
      <c r="K30" s="55" t="n">
        <v>3</v>
      </c>
    </row>
    <row r="31" customFormat="false" ht="26.85" hidden="false" customHeight="false" outlineLevel="0" collapsed="false">
      <c r="A31" s="55" t="s">
        <v>29</v>
      </c>
      <c r="B31" s="55" t="s">
        <v>4</v>
      </c>
      <c r="C31" s="55" t="s">
        <v>44</v>
      </c>
      <c r="D31" s="55" t="s">
        <v>45</v>
      </c>
      <c r="E31" s="55" t="s">
        <v>48</v>
      </c>
      <c r="F31" s="55" t="s">
        <v>49</v>
      </c>
      <c r="G31" s="55" t="n">
        <v>2021</v>
      </c>
      <c r="H31" s="55" t="s">
        <v>53</v>
      </c>
      <c r="I31" s="55" t="s">
        <v>54</v>
      </c>
      <c r="J31" s="55" t="n">
        <v>25</v>
      </c>
      <c r="K31" s="55" t="n">
        <v>3</v>
      </c>
    </row>
    <row r="32" customFormat="false" ht="26.85" hidden="false" customHeight="false" outlineLevel="0" collapsed="false">
      <c r="A32" s="55" t="s">
        <v>29</v>
      </c>
      <c r="B32" s="55" t="s">
        <v>4</v>
      </c>
      <c r="C32" s="55" t="s">
        <v>55</v>
      </c>
      <c r="D32" s="55" t="s">
        <v>32</v>
      </c>
      <c r="E32" s="55" t="s">
        <v>56</v>
      </c>
      <c r="F32" s="55" t="s">
        <v>147</v>
      </c>
      <c r="G32" s="55" t="n">
        <v>2021</v>
      </c>
      <c r="H32" s="55" t="s">
        <v>53</v>
      </c>
      <c r="I32" s="55" t="s">
        <v>60</v>
      </c>
      <c r="J32" s="55" t="n">
        <v>50</v>
      </c>
      <c r="K32" s="55" t="n">
        <v>6</v>
      </c>
    </row>
    <row r="33" customFormat="false" ht="26.85" hidden="false" customHeight="false" outlineLevel="0" collapsed="false">
      <c r="A33" s="55" t="s">
        <v>29</v>
      </c>
      <c r="B33" s="55" t="s">
        <v>4</v>
      </c>
      <c r="C33" s="55" t="s">
        <v>61</v>
      </c>
      <c r="D33" s="55" t="s">
        <v>32</v>
      </c>
      <c r="E33" s="55" t="s">
        <v>62</v>
      </c>
      <c r="F33" s="55" t="s">
        <v>182</v>
      </c>
      <c r="G33" s="55" t="n">
        <v>2021</v>
      </c>
      <c r="H33" s="55" t="s">
        <v>40</v>
      </c>
      <c r="I33" s="55" t="s">
        <v>41</v>
      </c>
      <c r="J33" s="55" t="n">
        <v>25</v>
      </c>
      <c r="K33" s="55" t="n">
        <v>3</v>
      </c>
    </row>
    <row r="34" customFormat="false" ht="26.85" hidden="false" customHeight="false" outlineLevel="0" collapsed="false">
      <c r="A34" s="55" t="s">
        <v>29</v>
      </c>
      <c r="B34" s="55" t="s">
        <v>4</v>
      </c>
      <c r="C34" s="55" t="s">
        <v>66</v>
      </c>
      <c r="D34" s="55" t="s">
        <v>67</v>
      </c>
      <c r="E34" s="55" t="s">
        <v>68</v>
      </c>
      <c r="F34" s="55" t="s">
        <v>174</v>
      </c>
      <c r="G34" s="55" t="n">
        <v>2021</v>
      </c>
      <c r="H34" s="55" t="s">
        <v>40</v>
      </c>
      <c r="I34" s="55" t="s">
        <v>41</v>
      </c>
      <c r="J34" s="55" t="n">
        <v>30</v>
      </c>
      <c r="K34" s="55" t="n">
        <v>4</v>
      </c>
    </row>
    <row r="35" customFormat="false" ht="26.85" hidden="false" customHeight="false" outlineLevel="0" collapsed="false">
      <c r="A35" s="55" t="s">
        <v>29</v>
      </c>
      <c r="B35" s="55" t="s">
        <v>4</v>
      </c>
      <c r="C35" s="55" t="s">
        <v>72</v>
      </c>
      <c r="D35" s="55" t="s">
        <v>73</v>
      </c>
      <c r="E35" s="55" t="s">
        <v>74</v>
      </c>
      <c r="F35" s="55" t="s">
        <v>75</v>
      </c>
      <c r="G35" s="55" t="n">
        <v>2021</v>
      </c>
      <c r="H35" s="55" t="s">
        <v>53</v>
      </c>
      <c r="I35" s="55" t="s">
        <v>60</v>
      </c>
      <c r="J35" s="55" t="n">
        <v>25</v>
      </c>
      <c r="K35" s="55" t="n">
        <v>3</v>
      </c>
    </row>
    <row r="36" customFormat="false" ht="26.85" hidden="false" customHeight="false" outlineLevel="0" collapsed="false">
      <c r="A36" s="55" t="s">
        <v>29</v>
      </c>
      <c r="B36" s="55" t="s">
        <v>4</v>
      </c>
      <c r="C36" s="55" t="s">
        <v>78</v>
      </c>
      <c r="D36" s="55" t="s">
        <v>79</v>
      </c>
      <c r="E36" s="55" t="s">
        <v>81</v>
      </c>
      <c r="F36" s="55" t="s">
        <v>82</v>
      </c>
      <c r="G36" s="55" t="n">
        <v>2021</v>
      </c>
      <c r="H36" s="55" t="s">
        <v>40</v>
      </c>
      <c r="I36" s="55" t="s">
        <v>41</v>
      </c>
      <c r="J36" s="55" t="n">
        <v>29</v>
      </c>
      <c r="K36" s="55" t="n">
        <v>4</v>
      </c>
    </row>
    <row r="37" customFormat="false" ht="26.85" hidden="false" customHeight="false" outlineLevel="0" collapsed="false">
      <c r="A37" s="55" t="s">
        <v>29</v>
      </c>
      <c r="B37" s="55" t="s">
        <v>4</v>
      </c>
      <c r="C37" s="55" t="s">
        <v>85</v>
      </c>
      <c r="D37" s="55" t="s">
        <v>73</v>
      </c>
      <c r="E37" s="55" t="s">
        <v>86</v>
      </c>
      <c r="F37" s="55" t="s">
        <v>87</v>
      </c>
      <c r="G37" s="55" t="n">
        <v>2021</v>
      </c>
      <c r="H37" s="55" t="s">
        <v>40</v>
      </c>
      <c r="I37" s="55" t="s">
        <v>41</v>
      </c>
      <c r="J37" s="55" t="n">
        <v>25</v>
      </c>
      <c r="K37" s="55" t="n">
        <v>3</v>
      </c>
    </row>
    <row r="38" customFormat="false" ht="26.85" hidden="false" customHeight="false" outlineLevel="0" collapsed="false">
      <c r="A38" s="55" t="s">
        <v>29</v>
      </c>
      <c r="B38" s="55" t="s">
        <v>4</v>
      </c>
      <c r="C38" s="55" t="s">
        <v>55</v>
      </c>
      <c r="D38" s="55" t="s">
        <v>32</v>
      </c>
      <c r="E38" s="55" t="s">
        <v>91</v>
      </c>
      <c r="F38" s="55" t="s">
        <v>147</v>
      </c>
      <c r="G38" s="55" t="n">
        <v>2022</v>
      </c>
      <c r="H38" s="55" t="s">
        <v>93</v>
      </c>
      <c r="I38" s="55" t="s">
        <v>94</v>
      </c>
      <c r="J38" s="55" t="n">
        <v>20</v>
      </c>
      <c r="K38" s="55" t="n">
        <v>3</v>
      </c>
    </row>
    <row r="39" customFormat="false" ht="26.85" hidden="false" customHeight="false" outlineLevel="0" collapsed="false">
      <c r="A39" s="55" t="s">
        <v>29</v>
      </c>
      <c r="B39" s="55" t="s">
        <v>4</v>
      </c>
      <c r="C39" s="55" t="s">
        <v>61</v>
      </c>
      <c r="D39" s="55" t="s">
        <v>32</v>
      </c>
      <c r="E39" s="55" t="s">
        <v>95</v>
      </c>
      <c r="F39" s="55" t="s">
        <v>182</v>
      </c>
      <c r="G39" s="55" t="n">
        <v>2022</v>
      </c>
      <c r="H39" s="55" t="s">
        <v>93</v>
      </c>
      <c r="I39" s="55" t="s">
        <v>94</v>
      </c>
      <c r="J39" s="55" t="n">
        <v>38</v>
      </c>
      <c r="K39" s="55" t="n">
        <v>5</v>
      </c>
    </row>
    <row r="40" customFormat="false" ht="26.85" hidden="false" customHeight="false" outlineLevel="0" collapsed="false">
      <c r="A40" s="55" t="s">
        <v>29</v>
      </c>
      <c r="B40" s="55" t="s">
        <v>4</v>
      </c>
      <c r="C40" s="55" t="s">
        <v>97</v>
      </c>
      <c r="D40" s="55" t="s">
        <v>79</v>
      </c>
      <c r="E40" s="55" t="s">
        <v>98</v>
      </c>
      <c r="F40" s="55" t="s">
        <v>168</v>
      </c>
      <c r="G40" s="55" t="n">
        <v>2022</v>
      </c>
      <c r="H40" s="55" t="s">
        <v>93</v>
      </c>
      <c r="I40" s="55" t="s">
        <v>94</v>
      </c>
      <c r="J40" s="55" t="n">
        <v>10</v>
      </c>
      <c r="K40" s="55" t="n">
        <v>2</v>
      </c>
    </row>
    <row r="41" customFormat="false" ht="26.85" hidden="false" customHeight="false" outlineLevel="0" collapsed="false">
      <c r="A41" s="55" t="s">
        <v>29</v>
      </c>
      <c r="B41" s="55" t="s">
        <v>4</v>
      </c>
      <c r="C41" s="55" t="s">
        <v>44</v>
      </c>
      <c r="D41" s="55" t="s">
        <v>45</v>
      </c>
      <c r="E41" s="55" t="s">
        <v>102</v>
      </c>
      <c r="F41" s="55" t="s">
        <v>49</v>
      </c>
      <c r="G41" s="55" t="n">
        <v>2022</v>
      </c>
      <c r="H41" s="55" t="s">
        <v>93</v>
      </c>
      <c r="I41" s="55" t="s">
        <v>94</v>
      </c>
      <c r="J41" s="55" t="n">
        <v>10</v>
      </c>
      <c r="K41" s="55" t="n">
        <v>2</v>
      </c>
    </row>
    <row r="42" customFormat="false" ht="15.75" hidden="false" customHeight="false" outlineLevel="0" collapsed="false">
      <c r="A42" s="55"/>
      <c r="B42" s="55"/>
      <c r="C42" s="55"/>
      <c r="D42" s="55"/>
      <c r="E42" s="55"/>
      <c r="F42" s="55"/>
      <c r="G42" s="55"/>
      <c r="H42" s="55"/>
      <c r="I42" s="55"/>
      <c r="J42" s="56"/>
      <c r="K42" s="56"/>
    </row>
    <row r="43" customFormat="false" ht="15.75" hidden="false" customHeight="false" outlineLevel="0" collapsed="false">
      <c r="A43" s="55"/>
      <c r="B43" s="55"/>
      <c r="C43" s="55"/>
      <c r="D43" s="55"/>
      <c r="E43" s="55"/>
      <c r="F43" s="55"/>
      <c r="G43" s="55"/>
      <c r="H43" s="55"/>
      <c r="I43" s="55"/>
      <c r="J43" s="56"/>
      <c r="K43" s="56"/>
    </row>
    <row r="44" customFormat="false" ht="15.75" hidden="false" customHeight="false" outlineLevel="0" collapsed="false">
      <c r="A44" s="55"/>
      <c r="B44" s="55"/>
      <c r="C44" s="55"/>
      <c r="D44" s="55"/>
      <c r="E44" s="55"/>
      <c r="F44" s="55"/>
      <c r="G44" s="55"/>
      <c r="H44" s="55"/>
      <c r="I44" s="55"/>
      <c r="J44" s="56"/>
      <c r="K44" s="56"/>
    </row>
    <row r="45" customFormat="false" ht="15.75" hidden="false" customHeight="false" outlineLevel="0" collapsed="false">
      <c r="A45" s="55"/>
      <c r="B45" s="55"/>
      <c r="C45" s="55"/>
      <c r="D45" s="55"/>
      <c r="E45" s="55"/>
      <c r="F45" s="55"/>
      <c r="G45" s="55"/>
      <c r="H45" s="55"/>
      <c r="I45" s="55"/>
      <c r="J45" s="56"/>
      <c r="K45" s="56"/>
    </row>
    <row r="46" customFormat="false" ht="15.75" hidden="false" customHeight="false" outlineLevel="0" collapsed="false">
      <c r="A46" s="55"/>
      <c r="B46" s="55"/>
      <c r="C46" s="55"/>
      <c r="D46" s="55"/>
      <c r="E46" s="55"/>
      <c r="F46" s="55"/>
      <c r="G46" s="55"/>
      <c r="H46" s="55"/>
      <c r="I46" s="55"/>
      <c r="J46" s="56"/>
      <c r="K46" s="56"/>
    </row>
    <row r="47" customFormat="false" ht="15.75" hidden="false" customHeight="false" outlineLevel="0" collapsed="false">
      <c r="A47" s="55"/>
      <c r="B47" s="55"/>
      <c r="C47" s="55"/>
      <c r="D47" s="55"/>
      <c r="E47" s="55"/>
      <c r="F47" s="55"/>
      <c r="G47" s="55"/>
      <c r="H47" s="55"/>
      <c r="I47" s="55"/>
      <c r="J47" s="56"/>
      <c r="K47" s="56"/>
    </row>
    <row r="48" customFormat="false" ht="15.75" hidden="false" customHeight="false" outlineLevel="0" collapsed="false">
      <c r="A48" s="55"/>
      <c r="B48" s="55"/>
      <c r="C48" s="55"/>
      <c r="D48" s="55"/>
      <c r="E48" s="55"/>
      <c r="F48" s="55"/>
      <c r="G48" s="55"/>
      <c r="H48" s="55"/>
      <c r="I48" s="55"/>
      <c r="J48" s="56"/>
      <c r="K48" s="56"/>
    </row>
    <row r="49" customFormat="false" ht="15.75" hidden="false" customHeight="false" outlineLevel="0" collapsed="false">
      <c r="A49" s="55"/>
      <c r="B49" s="55"/>
      <c r="C49" s="55"/>
      <c r="D49" s="55"/>
      <c r="E49" s="55"/>
      <c r="F49" s="55"/>
      <c r="G49" s="55"/>
      <c r="H49" s="55"/>
      <c r="I49" s="55"/>
      <c r="J49" s="56"/>
      <c r="K49" s="56"/>
    </row>
    <row r="50" customFormat="false" ht="15.75" hidden="false" customHeight="false" outlineLevel="0" collapsed="false">
      <c r="A50" s="55"/>
      <c r="B50" s="55"/>
      <c r="C50" s="55"/>
      <c r="D50" s="55"/>
      <c r="E50" s="55"/>
      <c r="F50" s="55"/>
      <c r="G50" s="55"/>
      <c r="H50" s="55"/>
      <c r="I50" s="55"/>
      <c r="J50" s="56"/>
      <c r="K50" s="56"/>
    </row>
  </sheetData>
  <mergeCells count="3">
    <mergeCell ref="A1:K1"/>
    <mergeCell ref="A2:K2"/>
    <mergeCell ref="A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5" min="5" style="19" width="20.66"/>
    <col collapsed="false" customWidth="true" hidden="false" outlineLevel="0" max="6" min="6" style="19" width="42.34"/>
    <col collapsed="false" customWidth="true" hidden="false" outlineLevel="0" max="8" min="7" style="19" width="15.44"/>
    <col collapsed="false" customWidth="true" hidden="false" outlineLevel="0" max="9" min="9" style="19" width="35.33"/>
  </cols>
  <sheetData>
    <row r="1" customFormat="false" ht="15.75" hidden="false" customHeight="true" outlineLevel="0" collapsed="false">
      <c r="A1" s="49" t="s">
        <v>121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customFormat="false" ht="15.75" hidden="false" customHeight="true" outlineLevel="0" collapsed="false">
      <c r="A2" s="49" t="s">
        <v>122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customFormat="false" ht="15.75" hidden="false" customHeight="false" outlineLevel="0" collapsed="false">
      <c r="A3" s="50"/>
      <c r="B3" s="50"/>
      <c r="C3" s="50"/>
      <c r="D3" s="50"/>
      <c r="E3" s="50"/>
      <c r="F3" s="50"/>
      <c r="G3" s="50"/>
      <c r="H3" s="50"/>
      <c r="I3" s="50"/>
      <c r="J3" s="51"/>
      <c r="K3" s="51"/>
    </row>
    <row r="4" customFormat="false" ht="15.75" hidden="false" customHeight="true" outlineLevel="0" collapsed="false">
      <c r="A4" s="52" t="s">
        <v>123</v>
      </c>
      <c r="B4" s="52"/>
      <c r="C4" s="52"/>
      <c r="D4" s="52"/>
      <c r="E4" s="52"/>
      <c r="F4" s="52"/>
      <c r="G4" s="52"/>
      <c r="H4" s="52"/>
      <c r="I4" s="52"/>
      <c r="J4" s="52"/>
      <c r="K4" s="52"/>
    </row>
    <row r="5" customFormat="false" ht="15.75" hidden="false" customHeight="false" outlineLevel="0" collapsed="false">
      <c r="A5" s="50"/>
      <c r="B5" s="50"/>
      <c r="C5" s="50"/>
      <c r="D5" s="50"/>
      <c r="E5" s="50"/>
      <c r="F5" s="50"/>
      <c r="G5" s="50"/>
      <c r="H5" s="50"/>
      <c r="I5" s="50"/>
      <c r="J5" s="51"/>
      <c r="K5" s="51"/>
    </row>
    <row r="6" customFormat="false" ht="15.75" hidden="false" customHeight="true" outlineLevel="0" collapsed="false">
      <c r="A6" s="53" t="s">
        <v>124</v>
      </c>
      <c r="B6" s="53" t="s">
        <v>125</v>
      </c>
      <c r="C6" s="53" t="s">
        <v>126</v>
      </c>
      <c r="D6" s="53" t="s">
        <v>127</v>
      </c>
      <c r="E6" s="53" t="s">
        <v>128</v>
      </c>
      <c r="F6" s="53" t="s">
        <v>129</v>
      </c>
      <c r="G6" s="53" t="s">
        <v>130</v>
      </c>
      <c r="H6" s="53" t="s">
        <v>131</v>
      </c>
      <c r="I6" s="53" t="s">
        <v>132</v>
      </c>
      <c r="J6" s="54" t="s">
        <v>133</v>
      </c>
      <c r="K6" s="54" t="s">
        <v>134</v>
      </c>
    </row>
    <row r="7" customFormat="false" ht="15.75" hidden="false" customHeight="true" outlineLevel="0" collapsed="false">
      <c r="A7" s="55" t="s">
        <v>135</v>
      </c>
      <c r="B7" s="55" t="s">
        <v>136</v>
      </c>
      <c r="C7" s="55"/>
      <c r="D7" s="55" t="s">
        <v>137</v>
      </c>
      <c r="E7" s="55" t="s">
        <v>138</v>
      </c>
      <c r="F7" s="55" t="s">
        <v>139</v>
      </c>
      <c r="G7" s="55"/>
      <c r="H7" s="55" t="s">
        <v>140</v>
      </c>
      <c r="I7" s="55" t="s">
        <v>141</v>
      </c>
      <c r="J7" s="56" t="s">
        <v>142</v>
      </c>
      <c r="K7" s="56" t="n">
        <f aca="false">SUM(K8:K45)</f>
        <v>88.1</v>
      </c>
      <c r="L7" s="56" t="n">
        <f aca="false">SUM(L8:L45)</f>
        <v>100</v>
      </c>
    </row>
    <row r="8" customFormat="false" ht="15.75" hidden="false" customHeight="true" outlineLevel="0" collapsed="false">
      <c r="A8" s="55" t="s">
        <v>29</v>
      </c>
      <c r="B8" s="55" t="s">
        <v>4</v>
      </c>
      <c r="C8" s="55" t="s">
        <v>31</v>
      </c>
      <c r="D8" s="55" t="s">
        <v>32</v>
      </c>
      <c r="E8" s="55" t="s">
        <v>183</v>
      </c>
      <c r="F8" s="55" t="s">
        <v>181</v>
      </c>
      <c r="G8" s="55" t="n">
        <v>2017</v>
      </c>
      <c r="H8" s="55" t="s">
        <v>184</v>
      </c>
      <c r="I8" s="55" t="s">
        <v>185</v>
      </c>
      <c r="J8" s="55" t="n">
        <v>30</v>
      </c>
      <c r="K8" s="57" t="n">
        <v>1.5</v>
      </c>
      <c r="L8" s="50" t="n">
        <f aca="false">ROUND(J8*0.05,0)</f>
        <v>2</v>
      </c>
    </row>
    <row r="9" customFormat="false" ht="15.75" hidden="false" customHeight="true" outlineLevel="0" collapsed="false">
      <c r="A9" s="55" t="s">
        <v>29</v>
      </c>
      <c r="B9" s="55" t="s">
        <v>4</v>
      </c>
      <c r="C9" s="55" t="s">
        <v>186</v>
      </c>
      <c r="D9" s="55" t="s">
        <v>32</v>
      </c>
      <c r="E9" s="55" t="s">
        <v>187</v>
      </c>
      <c r="F9" s="55" t="s">
        <v>188</v>
      </c>
      <c r="G9" s="55" t="n">
        <v>2017</v>
      </c>
      <c r="H9" s="55" t="s">
        <v>189</v>
      </c>
      <c r="I9" s="55" t="s">
        <v>190</v>
      </c>
      <c r="J9" s="55" t="n">
        <v>50</v>
      </c>
      <c r="K9" s="57" t="n">
        <v>2.5</v>
      </c>
      <c r="L9" s="50" t="n">
        <f aca="false">ROUND(J9*0.05,0)</f>
        <v>3</v>
      </c>
    </row>
    <row r="10" customFormat="false" ht="15.75" hidden="false" customHeight="true" outlineLevel="0" collapsed="false">
      <c r="A10" s="55" t="s">
        <v>29</v>
      </c>
      <c r="B10" s="55" t="s">
        <v>4</v>
      </c>
      <c r="C10" s="55" t="s">
        <v>151</v>
      </c>
      <c r="D10" s="55" t="s">
        <v>32</v>
      </c>
      <c r="E10" s="55" t="s">
        <v>191</v>
      </c>
      <c r="F10" s="55" t="s">
        <v>153</v>
      </c>
      <c r="G10" s="55" t="n">
        <v>2017</v>
      </c>
      <c r="H10" s="55" t="s">
        <v>184</v>
      </c>
      <c r="I10" s="55" t="s">
        <v>185</v>
      </c>
      <c r="J10" s="55" t="n">
        <v>50</v>
      </c>
      <c r="K10" s="57" t="n">
        <v>2.5</v>
      </c>
      <c r="L10" s="50" t="n">
        <f aca="false">ROUND(J10*0.05,0)</f>
        <v>3</v>
      </c>
    </row>
    <row r="11" customFormat="false" ht="15.75" hidden="false" customHeight="true" outlineLevel="0" collapsed="false">
      <c r="A11" s="55" t="s">
        <v>29</v>
      </c>
      <c r="B11" s="55" t="s">
        <v>4</v>
      </c>
      <c r="C11" s="55" t="s">
        <v>151</v>
      </c>
      <c r="D11" s="55" t="s">
        <v>32</v>
      </c>
      <c r="E11" s="55" t="s">
        <v>192</v>
      </c>
      <c r="F11" s="55" t="s">
        <v>171</v>
      </c>
      <c r="G11" s="55" t="n">
        <v>2017</v>
      </c>
      <c r="H11" s="55" t="s">
        <v>184</v>
      </c>
      <c r="I11" s="55" t="s">
        <v>185</v>
      </c>
      <c r="J11" s="55" t="n">
        <v>30</v>
      </c>
      <c r="K11" s="57" t="n">
        <v>1.5</v>
      </c>
      <c r="L11" s="50" t="n">
        <f aca="false">ROUND(J11*0.05,0)</f>
        <v>2</v>
      </c>
    </row>
    <row r="12" customFormat="false" ht="15.75" hidden="false" customHeight="true" outlineLevel="0" collapsed="false">
      <c r="A12" s="55" t="s">
        <v>29</v>
      </c>
      <c r="B12" s="55" t="s">
        <v>4</v>
      </c>
      <c r="C12" s="55" t="s">
        <v>72</v>
      </c>
      <c r="D12" s="55" t="s">
        <v>73</v>
      </c>
      <c r="E12" s="55" t="s">
        <v>193</v>
      </c>
      <c r="F12" s="55" t="s">
        <v>75</v>
      </c>
      <c r="G12" s="55" t="n">
        <v>2017</v>
      </c>
      <c r="H12" s="55" t="s">
        <v>184</v>
      </c>
      <c r="I12" s="55" t="s">
        <v>185</v>
      </c>
      <c r="J12" s="55" t="n">
        <v>25</v>
      </c>
      <c r="K12" s="57" t="n">
        <v>1.25</v>
      </c>
      <c r="L12" s="50" t="n">
        <f aca="false">ROUND(J12*0.05,0)</f>
        <v>1</v>
      </c>
    </row>
    <row r="13" customFormat="false" ht="15.75" hidden="false" customHeight="true" outlineLevel="0" collapsed="false">
      <c r="A13" s="55" t="s">
        <v>29</v>
      </c>
      <c r="B13" s="55" t="s">
        <v>4</v>
      </c>
      <c r="C13" s="55" t="s">
        <v>194</v>
      </c>
      <c r="D13" s="55" t="s">
        <v>32</v>
      </c>
      <c r="E13" s="55" t="s">
        <v>195</v>
      </c>
      <c r="F13" s="55" t="s">
        <v>196</v>
      </c>
      <c r="G13" s="55" t="n">
        <v>2017</v>
      </c>
      <c r="H13" s="55" t="s">
        <v>184</v>
      </c>
      <c r="I13" s="55" t="s">
        <v>185</v>
      </c>
      <c r="J13" s="55" t="n">
        <v>50</v>
      </c>
      <c r="K13" s="57" t="n">
        <v>2.5</v>
      </c>
      <c r="L13" s="50" t="n">
        <f aca="false">ROUND(J13*0.05,0)</f>
        <v>3</v>
      </c>
    </row>
    <row r="14" customFormat="false" ht="15.75" hidden="false" customHeight="true" outlineLevel="0" collapsed="false">
      <c r="A14" s="55" t="s">
        <v>29</v>
      </c>
      <c r="B14" s="55" t="s">
        <v>4</v>
      </c>
      <c r="C14" s="55" t="s">
        <v>31</v>
      </c>
      <c r="D14" s="55" t="s">
        <v>32</v>
      </c>
      <c r="E14" s="55" t="s">
        <v>197</v>
      </c>
      <c r="F14" s="55" t="s">
        <v>181</v>
      </c>
      <c r="G14" s="55" t="n">
        <v>2017</v>
      </c>
      <c r="H14" s="55" t="s">
        <v>184</v>
      </c>
      <c r="I14" s="55" t="s">
        <v>185</v>
      </c>
      <c r="J14" s="55" t="n">
        <v>40</v>
      </c>
      <c r="K14" s="57" t="n">
        <v>2</v>
      </c>
      <c r="L14" s="50" t="n">
        <f aca="false">ROUND(J14*0.05,0)</f>
        <v>2</v>
      </c>
    </row>
    <row r="15" customFormat="false" ht="15.75" hidden="false" customHeight="true" outlineLevel="0" collapsed="false">
      <c r="A15" s="55" t="s">
        <v>29</v>
      </c>
      <c r="B15" s="55" t="s">
        <v>4</v>
      </c>
      <c r="C15" s="55" t="s">
        <v>198</v>
      </c>
      <c r="D15" s="55" t="s">
        <v>79</v>
      </c>
      <c r="E15" s="55" t="s">
        <v>199</v>
      </c>
      <c r="F15" s="55" t="s">
        <v>200</v>
      </c>
      <c r="G15" s="55" t="n">
        <v>2017</v>
      </c>
      <c r="H15" s="55" t="s">
        <v>184</v>
      </c>
      <c r="I15" s="55" t="s">
        <v>185</v>
      </c>
      <c r="J15" s="55" t="n">
        <v>50</v>
      </c>
      <c r="K15" s="57" t="n">
        <v>2.5</v>
      </c>
      <c r="L15" s="50" t="n">
        <f aca="false">ROUND(J15*0.05,0)</f>
        <v>3</v>
      </c>
    </row>
    <row r="16" customFormat="false" ht="15.75" hidden="false" customHeight="true" outlineLevel="0" collapsed="false">
      <c r="A16" s="55" t="s">
        <v>29</v>
      </c>
      <c r="B16" s="55" t="s">
        <v>4</v>
      </c>
      <c r="C16" s="55" t="s">
        <v>55</v>
      </c>
      <c r="D16" s="55" t="s">
        <v>32</v>
      </c>
      <c r="E16" s="55" t="s">
        <v>201</v>
      </c>
      <c r="F16" s="55" t="s">
        <v>202</v>
      </c>
      <c r="G16" s="55" t="n">
        <v>2017</v>
      </c>
      <c r="H16" s="55" t="s">
        <v>184</v>
      </c>
      <c r="I16" s="55" t="s">
        <v>185</v>
      </c>
      <c r="J16" s="55" t="n">
        <v>50</v>
      </c>
      <c r="K16" s="57" t="n">
        <v>2.5</v>
      </c>
      <c r="L16" s="50" t="n">
        <f aca="false">ROUND(J16*0.05,0)</f>
        <v>3</v>
      </c>
    </row>
    <row r="17" customFormat="false" ht="15.75" hidden="false" customHeight="true" outlineLevel="0" collapsed="false">
      <c r="A17" s="55" t="s">
        <v>29</v>
      </c>
      <c r="B17" s="55" t="s">
        <v>4</v>
      </c>
      <c r="C17" s="55" t="s">
        <v>203</v>
      </c>
      <c r="D17" s="55" t="s">
        <v>204</v>
      </c>
      <c r="E17" s="55" t="s">
        <v>205</v>
      </c>
      <c r="F17" s="55" t="s">
        <v>206</v>
      </c>
      <c r="G17" s="55" t="n">
        <v>2017</v>
      </c>
      <c r="H17" s="55" t="s">
        <v>184</v>
      </c>
      <c r="I17" s="55" t="s">
        <v>185</v>
      </c>
      <c r="J17" s="55" t="n">
        <v>25</v>
      </c>
      <c r="K17" s="57" t="n">
        <v>1.25</v>
      </c>
      <c r="L17" s="50" t="n">
        <f aca="false">ROUND(J17*0.05,0)</f>
        <v>1</v>
      </c>
    </row>
    <row r="18" customFormat="false" ht="15.75" hidden="false" customHeight="true" outlineLevel="0" collapsed="false">
      <c r="A18" s="55" t="s">
        <v>29</v>
      </c>
      <c r="B18" s="55" t="s">
        <v>4</v>
      </c>
      <c r="C18" s="55" t="s">
        <v>107</v>
      </c>
      <c r="D18" s="55" t="s">
        <v>45</v>
      </c>
      <c r="E18" s="55" t="s">
        <v>207</v>
      </c>
      <c r="F18" s="55" t="s">
        <v>208</v>
      </c>
      <c r="G18" s="55" t="n">
        <v>2017</v>
      </c>
      <c r="H18" s="55" t="s">
        <v>53</v>
      </c>
      <c r="I18" s="55" t="s">
        <v>209</v>
      </c>
      <c r="J18" s="55" t="n">
        <v>50</v>
      </c>
      <c r="K18" s="57" t="n">
        <v>2.5</v>
      </c>
      <c r="L18" s="50" t="n">
        <f aca="false">ROUND(J18*0.05,0)</f>
        <v>3</v>
      </c>
    </row>
    <row r="19" customFormat="false" ht="15.75" hidden="false" customHeight="true" outlineLevel="0" collapsed="false">
      <c r="A19" s="55" t="s">
        <v>29</v>
      </c>
      <c r="B19" s="55" t="s">
        <v>4</v>
      </c>
      <c r="C19" s="55" t="s">
        <v>151</v>
      </c>
      <c r="D19" s="55" t="s">
        <v>32</v>
      </c>
      <c r="E19" s="55" t="s">
        <v>210</v>
      </c>
      <c r="F19" s="55" t="s">
        <v>171</v>
      </c>
      <c r="G19" s="55" t="n">
        <v>2017</v>
      </c>
      <c r="H19" s="55" t="s">
        <v>211</v>
      </c>
      <c r="I19" s="55" t="s">
        <v>212</v>
      </c>
      <c r="J19" s="55" t="n">
        <v>50</v>
      </c>
      <c r="K19" s="57" t="n">
        <v>2.5</v>
      </c>
      <c r="L19" s="50" t="n">
        <f aca="false">ROUND(J19*0.05,0)</f>
        <v>3</v>
      </c>
    </row>
    <row r="20" customFormat="false" ht="15.75" hidden="false" customHeight="true" outlineLevel="0" collapsed="false">
      <c r="A20" s="55" t="s">
        <v>29</v>
      </c>
      <c r="B20" s="55" t="s">
        <v>4</v>
      </c>
      <c r="C20" s="55" t="s">
        <v>213</v>
      </c>
      <c r="D20" s="55" t="s">
        <v>178</v>
      </c>
      <c r="E20" s="55" t="s">
        <v>214</v>
      </c>
      <c r="F20" s="55" t="s">
        <v>215</v>
      </c>
      <c r="G20" s="55" t="n">
        <v>2017</v>
      </c>
      <c r="H20" s="55" t="s">
        <v>53</v>
      </c>
      <c r="I20" s="55" t="s">
        <v>216</v>
      </c>
      <c r="J20" s="55" t="n">
        <v>50</v>
      </c>
      <c r="K20" s="57" t="n">
        <v>2.5</v>
      </c>
      <c r="L20" s="50" t="n">
        <f aca="false">ROUND(J20*0.05,0)</f>
        <v>3</v>
      </c>
    </row>
    <row r="21" customFormat="false" ht="15.75" hidden="false" customHeight="true" outlineLevel="0" collapsed="false">
      <c r="A21" s="55" t="s">
        <v>29</v>
      </c>
      <c r="B21" s="55" t="s">
        <v>4</v>
      </c>
      <c r="C21" s="55" t="s">
        <v>217</v>
      </c>
      <c r="D21" s="55" t="s">
        <v>32</v>
      </c>
      <c r="E21" s="55" t="s">
        <v>218</v>
      </c>
      <c r="F21" s="55" t="s">
        <v>219</v>
      </c>
      <c r="G21" s="55" t="n">
        <v>2017</v>
      </c>
      <c r="H21" s="55" t="s">
        <v>53</v>
      </c>
      <c r="I21" s="55" t="s">
        <v>180</v>
      </c>
      <c r="J21" s="55" t="n">
        <v>50</v>
      </c>
      <c r="K21" s="57" t="n">
        <v>2.5</v>
      </c>
      <c r="L21" s="50" t="n">
        <f aca="false">ROUND(J21*0.05,0)</f>
        <v>3</v>
      </c>
    </row>
    <row r="22" customFormat="false" ht="15.75" hidden="false" customHeight="true" outlineLevel="0" collapsed="false">
      <c r="A22" s="55" t="s">
        <v>29</v>
      </c>
      <c r="B22" s="55" t="s">
        <v>4</v>
      </c>
      <c r="C22" s="55" t="s">
        <v>220</v>
      </c>
      <c r="D22" s="55" t="s">
        <v>221</v>
      </c>
      <c r="E22" s="55" t="s">
        <v>222</v>
      </c>
      <c r="F22" s="55" t="s">
        <v>223</v>
      </c>
      <c r="G22" s="55" t="n">
        <v>2017</v>
      </c>
      <c r="H22" s="55" t="s">
        <v>53</v>
      </c>
      <c r="I22" s="55" t="s">
        <v>224</v>
      </c>
      <c r="J22" s="55" t="n">
        <v>50</v>
      </c>
      <c r="K22" s="57" t="n">
        <v>2.5</v>
      </c>
      <c r="L22" s="50" t="n">
        <f aca="false">ROUND(J22*0.05,0)</f>
        <v>3</v>
      </c>
    </row>
    <row r="23" customFormat="false" ht="15.75" hidden="false" customHeight="true" outlineLevel="0" collapsed="false">
      <c r="A23" s="55" t="s">
        <v>29</v>
      </c>
      <c r="B23" s="55" t="s">
        <v>4</v>
      </c>
      <c r="C23" s="55" t="s">
        <v>31</v>
      </c>
      <c r="D23" s="55" t="s">
        <v>32</v>
      </c>
      <c r="E23" s="55" t="s">
        <v>225</v>
      </c>
      <c r="F23" s="55" t="s">
        <v>181</v>
      </c>
      <c r="G23" s="55" t="n">
        <v>2017</v>
      </c>
      <c r="H23" s="55" t="s">
        <v>53</v>
      </c>
      <c r="I23" s="55" t="s">
        <v>180</v>
      </c>
      <c r="J23" s="55" t="n">
        <v>50</v>
      </c>
      <c r="K23" s="57" t="n">
        <v>2.5</v>
      </c>
      <c r="L23" s="50" t="n">
        <f aca="false">ROUND(J23*0.05,0)</f>
        <v>3</v>
      </c>
    </row>
    <row r="24" customFormat="false" ht="15.75" hidden="false" customHeight="true" outlineLevel="0" collapsed="false">
      <c r="A24" s="55" t="s">
        <v>29</v>
      </c>
      <c r="B24" s="55" t="s">
        <v>4</v>
      </c>
      <c r="C24" s="55" t="s">
        <v>55</v>
      </c>
      <c r="D24" s="55" t="s">
        <v>32</v>
      </c>
      <c r="E24" s="55" t="s">
        <v>226</v>
      </c>
      <c r="F24" s="55" t="s">
        <v>147</v>
      </c>
      <c r="G24" s="55" t="n">
        <v>2017</v>
      </c>
      <c r="H24" s="55" t="s">
        <v>53</v>
      </c>
      <c r="I24" s="55" t="s">
        <v>180</v>
      </c>
      <c r="J24" s="55" t="n">
        <v>50</v>
      </c>
      <c r="K24" s="57" t="n">
        <v>2.5</v>
      </c>
      <c r="L24" s="50" t="n">
        <f aca="false">ROUND(J24*0.05,0)</f>
        <v>3</v>
      </c>
    </row>
    <row r="25" customFormat="false" ht="15.75" hidden="false" customHeight="true" outlineLevel="0" collapsed="false">
      <c r="A25" s="55" t="s">
        <v>29</v>
      </c>
      <c r="B25" s="55" t="s">
        <v>4</v>
      </c>
      <c r="C25" s="55" t="s">
        <v>55</v>
      </c>
      <c r="D25" s="55" t="s">
        <v>32</v>
      </c>
      <c r="E25" s="55" t="s">
        <v>227</v>
      </c>
      <c r="F25" s="55" t="s">
        <v>228</v>
      </c>
      <c r="G25" s="55" t="n">
        <v>2017</v>
      </c>
      <c r="H25" s="55" t="s">
        <v>53</v>
      </c>
      <c r="I25" s="55" t="s">
        <v>180</v>
      </c>
      <c r="J25" s="55" t="n">
        <v>50</v>
      </c>
      <c r="K25" s="57" t="n">
        <v>2.5</v>
      </c>
      <c r="L25" s="50" t="n">
        <f aca="false">ROUND(J25*0.05,0)</f>
        <v>3</v>
      </c>
    </row>
    <row r="26" customFormat="false" ht="15.75" hidden="false" customHeight="true" outlineLevel="0" collapsed="false">
      <c r="A26" s="55" t="s">
        <v>29</v>
      </c>
      <c r="B26" s="55" t="s">
        <v>4</v>
      </c>
      <c r="C26" s="55" t="s">
        <v>97</v>
      </c>
      <c r="D26" s="55" t="s">
        <v>79</v>
      </c>
      <c r="E26" s="55" t="s">
        <v>229</v>
      </c>
      <c r="F26" s="55" t="s">
        <v>144</v>
      </c>
      <c r="G26" s="55" t="n">
        <v>2017</v>
      </c>
      <c r="H26" s="55" t="s">
        <v>53</v>
      </c>
      <c r="I26" s="55" t="s">
        <v>216</v>
      </c>
      <c r="J26" s="55" t="n">
        <v>50</v>
      </c>
      <c r="K26" s="57" t="n">
        <v>2.5</v>
      </c>
      <c r="L26" s="50" t="n">
        <f aca="false">ROUND(J26*0.05,0)</f>
        <v>3</v>
      </c>
    </row>
    <row r="27" customFormat="false" ht="26.85" hidden="false" customHeight="false" outlineLevel="0" collapsed="false">
      <c r="A27" s="55" t="s">
        <v>29</v>
      </c>
      <c r="B27" s="55" t="s">
        <v>4</v>
      </c>
      <c r="C27" s="55" t="s">
        <v>72</v>
      </c>
      <c r="D27" s="55" t="s">
        <v>73</v>
      </c>
      <c r="E27" s="55" t="s">
        <v>230</v>
      </c>
      <c r="F27" s="55" t="s">
        <v>75</v>
      </c>
      <c r="G27" s="55" t="n">
        <v>2017</v>
      </c>
      <c r="H27" s="55" t="s">
        <v>231</v>
      </c>
      <c r="I27" s="55" t="s">
        <v>231</v>
      </c>
      <c r="J27" s="55" t="n">
        <v>50</v>
      </c>
      <c r="K27" s="57" t="n">
        <v>2.5</v>
      </c>
      <c r="L27" s="50" t="n">
        <f aca="false">ROUND(J27*0.05,0)</f>
        <v>3</v>
      </c>
    </row>
    <row r="28" customFormat="false" ht="26.85" hidden="false" customHeight="false" outlineLevel="0" collapsed="false">
      <c r="A28" s="55" t="s">
        <v>29</v>
      </c>
      <c r="B28" s="55" t="s">
        <v>4</v>
      </c>
      <c r="C28" s="55" t="s">
        <v>232</v>
      </c>
      <c r="D28" s="55" t="s">
        <v>32</v>
      </c>
      <c r="E28" s="55" t="s">
        <v>233</v>
      </c>
      <c r="F28" s="55" t="s">
        <v>234</v>
      </c>
      <c r="G28" s="55" t="n">
        <v>2017</v>
      </c>
      <c r="H28" s="55" t="s">
        <v>235</v>
      </c>
      <c r="I28" s="55" t="s">
        <v>236</v>
      </c>
      <c r="J28" s="55" t="n">
        <v>40</v>
      </c>
      <c r="K28" s="57" t="n">
        <v>2</v>
      </c>
      <c r="L28" s="50" t="n">
        <f aca="false">ROUND(J28*0.05,0)</f>
        <v>2</v>
      </c>
    </row>
    <row r="29" customFormat="false" ht="26.85" hidden="false" customHeight="false" outlineLevel="0" collapsed="false">
      <c r="A29" s="55" t="s">
        <v>29</v>
      </c>
      <c r="B29" s="55" t="s">
        <v>4</v>
      </c>
      <c r="C29" s="55" t="s">
        <v>151</v>
      </c>
      <c r="D29" s="55" t="s">
        <v>32</v>
      </c>
      <c r="E29" s="55" t="s">
        <v>237</v>
      </c>
      <c r="F29" s="55" t="s">
        <v>153</v>
      </c>
      <c r="G29" s="55" t="n">
        <v>2018</v>
      </c>
      <c r="H29" s="55" t="s">
        <v>40</v>
      </c>
      <c r="I29" s="55" t="s">
        <v>154</v>
      </c>
      <c r="J29" s="55" t="n">
        <v>60</v>
      </c>
      <c r="K29" s="57" t="n">
        <v>3</v>
      </c>
      <c r="L29" s="50" t="n">
        <f aca="false">ROUND(J29*0.05,0)</f>
        <v>3</v>
      </c>
    </row>
    <row r="30" customFormat="false" ht="26.85" hidden="false" customHeight="false" outlineLevel="0" collapsed="false">
      <c r="A30" s="55" t="s">
        <v>29</v>
      </c>
      <c r="B30" s="55" t="s">
        <v>4</v>
      </c>
      <c r="C30" s="55" t="s">
        <v>238</v>
      </c>
      <c r="D30" s="55" t="s">
        <v>67</v>
      </c>
      <c r="E30" s="55" t="s">
        <v>239</v>
      </c>
      <c r="F30" s="55" t="s">
        <v>240</v>
      </c>
      <c r="G30" s="55" t="n">
        <v>2018</v>
      </c>
      <c r="H30" s="55" t="s">
        <v>40</v>
      </c>
      <c r="I30" s="55" t="s">
        <v>154</v>
      </c>
      <c r="J30" s="55" t="n">
        <v>60</v>
      </c>
      <c r="K30" s="57" t="n">
        <v>3</v>
      </c>
      <c r="L30" s="50" t="n">
        <f aca="false">ROUND(J30*0.05,0)</f>
        <v>3</v>
      </c>
    </row>
    <row r="31" customFormat="false" ht="26.85" hidden="false" customHeight="false" outlineLevel="0" collapsed="false">
      <c r="A31" s="55" t="s">
        <v>29</v>
      </c>
      <c r="B31" s="55" t="s">
        <v>4</v>
      </c>
      <c r="C31" s="55" t="s">
        <v>97</v>
      </c>
      <c r="D31" s="55" t="s">
        <v>79</v>
      </c>
      <c r="E31" s="55" t="s">
        <v>241</v>
      </c>
      <c r="F31" s="55" t="s">
        <v>144</v>
      </c>
      <c r="G31" s="55" t="n">
        <v>2018</v>
      </c>
      <c r="H31" s="55" t="s">
        <v>40</v>
      </c>
      <c r="I31" s="55" t="s">
        <v>242</v>
      </c>
      <c r="J31" s="55" t="n">
        <v>60</v>
      </c>
      <c r="K31" s="57" t="n">
        <v>3</v>
      </c>
      <c r="L31" s="50" t="n">
        <f aca="false">ROUND(J31*0.05,0)</f>
        <v>3</v>
      </c>
    </row>
    <row r="32" customFormat="false" ht="26.85" hidden="false" customHeight="false" outlineLevel="0" collapsed="false">
      <c r="A32" s="55" t="s">
        <v>29</v>
      </c>
      <c r="B32" s="55" t="s">
        <v>4</v>
      </c>
      <c r="C32" s="55" t="s">
        <v>61</v>
      </c>
      <c r="D32" s="55" t="s">
        <v>32</v>
      </c>
      <c r="E32" s="55" t="s">
        <v>243</v>
      </c>
      <c r="F32" s="55" t="s">
        <v>182</v>
      </c>
      <c r="G32" s="55" t="n">
        <v>2018</v>
      </c>
      <c r="H32" s="55" t="s">
        <v>53</v>
      </c>
      <c r="I32" s="55" t="s">
        <v>244</v>
      </c>
      <c r="J32" s="55" t="n">
        <v>50</v>
      </c>
      <c r="K32" s="57" t="n">
        <v>2.5</v>
      </c>
      <c r="L32" s="50" t="n">
        <f aca="false">ROUND(J32*0.05,0)</f>
        <v>3</v>
      </c>
    </row>
    <row r="33" customFormat="false" ht="26.85" hidden="false" customHeight="false" outlineLevel="0" collapsed="false">
      <c r="A33" s="55" t="s">
        <v>29</v>
      </c>
      <c r="B33" s="55" t="s">
        <v>4</v>
      </c>
      <c r="C33" s="55" t="s">
        <v>151</v>
      </c>
      <c r="D33" s="55" t="s">
        <v>32</v>
      </c>
      <c r="E33" s="55" t="s">
        <v>245</v>
      </c>
      <c r="F33" s="55" t="s">
        <v>171</v>
      </c>
      <c r="G33" s="55" t="n">
        <v>2018</v>
      </c>
      <c r="H33" s="55" t="s">
        <v>246</v>
      </c>
      <c r="I33" s="55" t="s">
        <v>247</v>
      </c>
      <c r="J33" s="55" t="n">
        <v>50</v>
      </c>
      <c r="K33" s="57" t="n">
        <v>2.5</v>
      </c>
      <c r="L33" s="50" t="n">
        <f aca="false">ROUND(J33*0.05,0)</f>
        <v>3</v>
      </c>
    </row>
    <row r="34" customFormat="false" ht="26.85" hidden="false" customHeight="false" outlineLevel="0" collapsed="false">
      <c r="A34" s="55" t="s">
        <v>29</v>
      </c>
      <c r="B34" s="55" t="s">
        <v>4</v>
      </c>
      <c r="C34" s="55" t="s">
        <v>151</v>
      </c>
      <c r="D34" s="55" t="s">
        <v>32</v>
      </c>
      <c r="E34" s="55" t="s">
        <v>248</v>
      </c>
      <c r="F34" s="55" t="s">
        <v>163</v>
      </c>
      <c r="G34" s="55" t="n">
        <v>2018</v>
      </c>
      <c r="H34" s="55" t="s">
        <v>53</v>
      </c>
      <c r="I34" s="55" t="s">
        <v>249</v>
      </c>
      <c r="J34" s="55" t="n">
        <v>50</v>
      </c>
      <c r="K34" s="57" t="n">
        <v>2.5</v>
      </c>
      <c r="L34" s="50" t="n">
        <f aca="false">ROUND(J34*0.05,0)</f>
        <v>3</v>
      </c>
    </row>
    <row r="35" customFormat="false" ht="26.85" hidden="false" customHeight="false" outlineLevel="0" collapsed="false">
      <c r="A35" s="55" t="s">
        <v>29</v>
      </c>
      <c r="B35" s="55" t="s">
        <v>4</v>
      </c>
      <c r="C35" s="55" t="s">
        <v>55</v>
      </c>
      <c r="D35" s="55" t="s">
        <v>32</v>
      </c>
      <c r="E35" s="55" t="s">
        <v>250</v>
      </c>
      <c r="F35" s="55" t="s">
        <v>202</v>
      </c>
      <c r="G35" s="55" t="n">
        <v>2018</v>
      </c>
      <c r="H35" s="55" t="s">
        <v>40</v>
      </c>
      <c r="I35" s="55" t="s">
        <v>251</v>
      </c>
      <c r="J35" s="55" t="n">
        <v>60</v>
      </c>
      <c r="K35" s="57" t="n">
        <v>3</v>
      </c>
      <c r="L35" s="50" t="n">
        <f aca="false">ROUND(J35*0.05,0)</f>
        <v>3</v>
      </c>
    </row>
    <row r="36" customFormat="false" ht="26.85" hidden="false" customHeight="false" outlineLevel="0" collapsed="false">
      <c r="A36" s="55" t="s">
        <v>29</v>
      </c>
      <c r="B36" s="55" t="s">
        <v>4</v>
      </c>
      <c r="C36" s="55" t="s">
        <v>55</v>
      </c>
      <c r="D36" s="55" t="s">
        <v>32</v>
      </c>
      <c r="E36" s="55" t="s">
        <v>252</v>
      </c>
      <c r="F36" s="55" t="s">
        <v>147</v>
      </c>
      <c r="G36" s="55" t="n">
        <v>2018</v>
      </c>
      <c r="H36" s="55" t="s">
        <v>40</v>
      </c>
      <c r="I36" s="55" t="s">
        <v>253</v>
      </c>
      <c r="J36" s="55" t="n">
        <v>60</v>
      </c>
      <c r="K36" s="57" t="n">
        <v>3</v>
      </c>
      <c r="L36" s="50" t="n">
        <f aca="false">ROUND(J36*0.05,0)</f>
        <v>3</v>
      </c>
    </row>
    <row r="37" customFormat="false" ht="26.85" hidden="false" customHeight="false" outlineLevel="0" collapsed="false">
      <c r="A37" s="55" t="s">
        <v>29</v>
      </c>
      <c r="B37" s="55" t="s">
        <v>4</v>
      </c>
      <c r="C37" s="55" t="s">
        <v>186</v>
      </c>
      <c r="D37" s="55" t="s">
        <v>32</v>
      </c>
      <c r="E37" s="55" t="s">
        <v>254</v>
      </c>
      <c r="F37" s="55" t="s">
        <v>255</v>
      </c>
      <c r="G37" s="55" t="n">
        <v>2018</v>
      </c>
      <c r="H37" s="55" t="s">
        <v>256</v>
      </c>
      <c r="I37" s="55" t="s">
        <v>257</v>
      </c>
      <c r="J37" s="55" t="n">
        <v>50</v>
      </c>
      <c r="K37" s="57" t="n">
        <v>2.5</v>
      </c>
      <c r="L37" s="50" t="n">
        <f aca="false">ROUND(J37*0.05,0)</f>
        <v>3</v>
      </c>
    </row>
    <row r="38" customFormat="false" ht="26.85" hidden="false" customHeight="false" outlineLevel="0" collapsed="false">
      <c r="A38" s="55" t="s">
        <v>29</v>
      </c>
      <c r="B38" s="55" t="s">
        <v>4</v>
      </c>
      <c r="C38" s="55" t="s">
        <v>186</v>
      </c>
      <c r="D38" s="55" t="s">
        <v>32</v>
      </c>
      <c r="E38" s="55" t="s">
        <v>258</v>
      </c>
      <c r="F38" s="55" t="s">
        <v>188</v>
      </c>
      <c r="G38" s="55" t="n">
        <v>2018</v>
      </c>
      <c r="H38" s="55" t="s">
        <v>256</v>
      </c>
      <c r="I38" s="55" t="s">
        <v>257</v>
      </c>
      <c r="J38" s="55" t="n">
        <v>50</v>
      </c>
      <c r="K38" s="57" t="n">
        <v>2.5</v>
      </c>
      <c r="L38" s="50" t="n">
        <f aca="false">ROUND(J38*0.05,0)</f>
        <v>3</v>
      </c>
    </row>
    <row r="39" customFormat="false" ht="26.85" hidden="false" customHeight="false" outlineLevel="0" collapsed="false">
      <c r="A39" s="55" t="s">
        <v>29</v>
      </c>
      <c r="B39" s="55" t="s">
        <v>4</v>
      </c>
      <c r="C39" s="55" t="s">
        <v>259</v>
      </c>
      <c r="D39" s="55" t="s">
        <v>73</v>
      </c>
      <c r="E39" s="55" t="s">
        <v>260</v>
      </c>
      <c r="F39" s="55" t="s">
        <v>261</v>
      </c>
      <c r="G39" s="55" t="n">
        <v>2018</v>
      </c>
      <c r="H39" s="55" t="s">
        <v>231</v>
      </c>
      <c r="I39" s="55" t="s">
        <v>231</v>
      </c>
      <c r="J39" s="55" t="n">
        <v>50</v>
      </c>
      <c r="K39" s="57" t="n">
        <v>2.5</v>
      </c>
      <c r="L39" s="50" t="n">
        <f aca="false">ROUND(J39*0.05,0)</f>
        <v>3</v>
      </c>
    </row>
    <row r="40" customFormat="false" ht="26.85" hidden="false" customHeight="false" outlineLevel="0" collapsed="false">
      <c r="A40" s="55" t="s">
        <v>29</v>
      </c>
      <c r="B40" s="55" t="s">
        <v>4</v>
      </c>
      <c r="C40" s="55" t="s">
        <v>85</v>
      </c>
      <c r="D40" s="55" t="s">
        <v>73</v>
      </c>
      <c r="E40" s="55" t="s">
        <v>262</v>
      </c>
      <c r="F40" s="55" t="s">
        <v>87</v>
      </c>
      <c r="G40" s="55" t="n">
        <v>2018</v>
      </c>
      <c r="H40" s="55" t="s">
        <v>40</v>
      </c>
      <c r="I40" s="55" t="s">
        <v>263</v>
      </c>
      <c r="J40" s="55" t="n">
        <v>50</v>
      </c>
      <c r="K40" s="57" t="n">
        <v>2.5</v>
      </c>
      <c r="L40" s="50" t="n">
        <f aca="false">ROUND(J40*0.05,0)</f>
        <v>3</v>
      </c>
    </row>
    <row r="41" customFormat="false" ht="26.85" hidden="false" customHeight="false" outlineLevel="0" collapsed="false">
      <c r="A41" s="55" t="s">
        <v>29</v>
      </c>
      <c r="B41" s="55" t="s">
        <v>4</v>
      </c>
      <c r="C41" s="55" t="s">
        <v>44</v>
      </c>
      <c r="D41" s="55" t="s">
        <v>45</v>
      </c>
      <c r="E41" s="55" t="s">
        <v>264</v>
      </c>
      <c r="F41" s="55" t="s">
        <v>49</v>
      </c>
      <c r="G41" s="55" t="n">
        <v>2018</v>
      </c>
      <c r="H41" s="55" t="s">
        <v>52</v>
      </c>
      <c r="I41" s="55" t="s">
        <v>265</v>
      </c>
      <c r="J41" s="55" t="n">
        <v>50</v>
      </c>
      <c r="K41" s="57" t="n">
        <v>2.5</v>
      </c>
      <c r="L41" s="50" t="n">
        <f aca="false">ROUND(J41*0.05,0)</f>
        <v>3</v>
      </c>
    </row>
    <row r="42" customFormat="false" ht="26.85" hidden="false" customHeight="false" outlineLevel="0" collapsed="false">
      <c r="A42" s="55" t="s">
        <v>29</v>
      </c>
      <c r="B42" s="55" t="s">
        <v>4</v>
      </c>
      <c r="C42" s="55" t="s">
        <v>220</v>
      </c>
      <c r="D42" s="55" t="s">
        <v>221</v>
      </c>
      <c r="E42" s="55" t="s">
        <v>266</v>
      </c>
      <c r="F42" s="55" t="s">
        <v>267</v>
      </c>
      <c r="G42" s="55" t="n">
        <v>2018</v>
      </c>
      <c r="H42" s="55" t="s">
        <v>184</v>
      </c>
      <c r="I42" s="55" t="s">
        <v>185</v>
      </c>
      <c r="J42" s="55" t="n">
        <v>20</v>
      </c>
      <c r="K42" s="57" t="n">
        <v>1</v>
      </c>
      <c r="L42" s="50" t="n">
        <f aca="false">ROUND(J42*0.05,0)</f>
        <v>1</v>
      </c>
    </row>
    <row r="43" customFormat="false" ht="52.2" hidden="false" customHeight="false" outlineLevel="0" collapsed="false">
      <c r="A43" s="55" t="s">
        <v>29</v>
      </c>
      <c r="B43" s="55" t="s">
        <v>4</v>
      </c>
      <c r="C43" s="55" t="s">
        <v>268</v>
      </c>
      <c r="D43" s="55" t="s">
        <v>178</v>
      </c>
      <c r="E43" s="55" t="s">
        <v>269</v>
      </c>
      <c r="F43" s="55" t="s">
        <v>270</v>
      </c>
      <c r="G43" s="55" t="n">
        <v>2018</v>
      </c>
      <c r="H43" s="55" t="s">
        <v>184</v>
      </c>
      <c r="I43" s="55" t="s">
        <v>184</v>
      </c>
      <c r="J43" s="55" t="n">
        <v>25</v>
      </c>
      <c r="K43" s="57" t="n">
        <v>1.25</v>
      </c>
      <c r="L43" s="50" t="n">
        <f aca="false">ROUND(J43*0.05,0)</f>
        <v>1</v>
      </c>
    </row>
    <row r="44" customFormat="false" ht="26.85" hidden="false" customHeight="false" outlineLevel="0" collapsed="false">
      <c r="A44" s="55" t="s">
        <v>29</v>
      </c>
      <c r="B44" s="55" t="s">
        <v>4</v>
      </c>
      <c r="C44" s="55" t="s">
        <v>259</v>
      </c>
      <c r="D44" s="55" t="s">
        <v>73</v>
      </c>
      <c r="E44" s="55" t="s">
        <v>271</v>
      </c>
      <c r="F44" s="55" t="s">
        <v>272</v>
      </c>
      <c r="G44" s="55" t="n">
        <v>2018</v>
      </c>
      <c r="H44" s="55" t="s">
        <v>52</v>
      </c>
      <c r="I44" s="55" t="s">
        <v>231</v>
      </c>
      <c r="J44" s="55" t="n">
        <v>17</v>
      </c>
      <c r="K44" s="57" t="n">
        <v>0.85</v>
      </c>
      <c r="L44" s="50" t="n">
        <f aca="false">ROUND(J44*0.05,0)</f>
        <v>1</v>
      </c>
    </row>
    <row r="45" customFormat="false" ht="26.85" hidden="false" customHeight="false" outlineLevel="0" collapsed="false">
      <c r="A45" s="55" t="s">
        <v>29</v>
      </c>
      <c r="B45" s="55" t="s">
        <v>4</v>
      </c>
      <c r="C45" s="55" t="s">
        <v>186</v>
      </c>
      <c r="D45" s="55" t="s">
        <v>32</v>
      </c>
      <c r="E45" s="55" t="s">
        <v>273</v>
      </c>
      <c r="F45" s="55" t="s">
        <v>274</v>
      </c>
      <c r="G45" s="55" t="n">
        <v>2018</v>
      </c>
      <c r="H45" s="55" t="s">
        <v>40</v>
      </c>
      <c r="I45" s="55" t="s">
        <v>275</v>
      </c>
      <c r="J45" s="55" t="n">
        <v>60</v>
      </c>
      <c r="K45" s="57" t="n">
        <v>3</v>
      </c>
      <c r="L45" s="50" t="n">
        <f aca="false">ROUND(J45*0.05,0)</f>
        <v>3</v>
      </c>
    </row>
    <row r="46" customFormat="false" ht="15.75" hidden="false" customHeight="false" outlineLevel="0" collapsed="false">
      <c r="A46" s="55"/>
      <c r="B46" s="55"/>
      <c r="C46" s="55"/>
      <c r="D46" s="55"/>
      <c r="E46" s="55"/>
      <c r="F46" s="55"/>
      <c r="G46" s="55"/>
      <c r="H46" s="55"/>
      <c r="I46" s="55"/>
      <c r="J46" s="56"/>
      <c r="K46" s="56"/>
    </row>
    <row r="47" customFormat="false" ht="15.75" hidden="false" customHeight="false" outlineLevel="0" collapsed="false">
      <c r="A47" s="55"/>
      <c r="B47" s="55"/>
      <c r="C47" s="55"/>
      <c r="D47" s="55"/>
      <c r="E47" s="55"/>
      <c r="F47" s="55"/>
      <c r="G47" s="55"/>
      <c r="H47" s="55"/>
      <c r="I47" s="55"/>
      <c r="J47" s="56"/>
      <c r="K47" s="56"/>
    </row>
    <row r="48" customFormat="false" ht="15.75" hidden="false" customHeight="false" outlineLevel="0" collapsed="false">
      <c r="A48" s="55"/>
      <c r="B48" s="55"/>
      <c r="C48" s="55"/>
      <c r="D48" s="55"/>
      <c r="E48" s="55"/>
      <c r="F48" s="55"/>
      <c r="G48" s="55"/>
      <c r="H48" s="55"/>
      <c r="I48" s="55"/>
      <c r="J48" s="56"/>
      <c r="K48" s="56"/>
    </row>
    <row r="49" customFormat="false" ht="15.75" hidden="false" customHeight="false" outlineLevel="0" collapsed="false">
      <c r="A49" s="55"/>
      <c r="B49" s="55"/>
      <c r="C49" s="55"/>
      <c r="D49" s="55"/>
      <c r="E49" s="55"/>
      <c r="F49" s="55"/>
      <c r="G49" s="55"/>
      <c r="H49" s="55"/>
      <c r="I49" s="55"/>
      <c r="J49" s="56"/>
      <c r="K49" s="56"/>
    </row>
    <row r="50" customFormat="false" ht="15.75" hidden="false" customHeight="false" outlineLevel="0" collapsed="false">
      <c r="A50" s="55"/>
      <c r="B50" s="55"/>
      <c r="C50" s="55"/>
      <c r="D50" s="55"/>
      <c r="E50" s="55"/>
      <c r="F50" s="55"/>
      <c r="G50" s="55"/>
      <c r="H50" s="55"/>
      <c r="I50" s="55"/>
      <c r="J50" s="56"/>
      <c r="K50" s="56"/>
    </row>
  </sheetData>
  <mergeCells count="3">
    <mergeCell ref="A1:K1"/>
    <mergeCell ref="A2:K2"/>
    <mergeCell ref="A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C8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J4" activeCellId="0" sqref="J4"/>
    </sheetView>
  </sheetViews>
  <sheetFormatPr defaultColWidth="12.66796875" defaultRowHeight="15.75" customHeight="true" zeroHeight="false" outlineLevelRow="0" outlineLevelCol="1"/>
  <cols>
    <col collapsed="false" customWidth="true" hidden="false" outlineLevel="0" max="2" min="2" style="19" width="14.11"/>
    <col collapsed="false" customWidth="true" hidden="false" outlineLevel="0" max="3" min="3" style="19" width="18.79"/>
    <col collapsed="false" customWidth="true" hidden="false" outlineLevel="0" max="7" min="7" style="19" width="26.77"/>
    <col collapsed="false" customWidth="true" hidden="false" outlineLevel="0" max="9" min="9" style="19" width="26"/>
    <col collapsed="false" customWidth="true" hidden="false" outlineLevel="1" max="10" min="10" style="19" width="62"/>
    <col collapsed="false" customWidth="true" hidden="false" outlineLevel="1" max="11" min="11" style="19" width="21"/>
    <col collapsed="false" customWidth="true" hidden="false" outlineLevel="1" max="12" min="12" style="19" width="25.67"/>
    <col collapsed="false" customWidth="false" hidden="false" outlineLevel="1" max="14" min="13" style="19" width="12.67"/>
    <col collapsed="false" customWidth="false" hidden="false" outlineLevel="1" max="18" min="16" style="19" width="12.67"/>
    <col collapsed="false" customWidth="true" hidden="false" outlineLevel="1" max="19" min="19" style="19" width="23.88"/>
    <col collapsed="false" customWidth="true" hidden="false" outlineLevel="1" max="20" min="20" style="19" width="51.11"/>
    <col collapsed="false" customWidth="false" hidden="false" outlineLevel="1" max="26" min="21" style="19" width="12.67"/>
    <col collapsed="false" customWidth="true" hidden="false" outlineLevel="1" max="27" min="27" style="19" width="15.22"/>
    <col collapsed="false" customWidth="false" hidden="false" outlineLevel="1" max="28" min="28" style="19" width="12.67"/>
    <col collapsed="false" customWidth="true" hidden="false" outlineLevel="1" max="29" min="29" style="19" width="22.76"/>
    <col collapsed="false" customWidth="false" hidden="false" outlineLevel="1" max="35" min="30" style="19" width="12.67"/>
    <col collapsed="false" customWidth="true" hidden="false" outlineLevel="1" max="36" min="36" style="19" width="19.79"/>
    <col collapsed="false" customWidth="true" hidden="false" outlineLevel="1" max="37" min="37" style="19" width="19.67"/>
    <col collapsed="false" customWidth="false" hidden="false" outlineLevel="1" max="42" min="38" style="19" width="12.67"/>
    <col collapsed="false" customWidth="true" hidden="false" outlineLevel="1" max="43" min="43" style="19" width="17.76"/>
    <col collapsed="false" customWidth="false" hidden="false" outlineLevel="1" max="45" min="44" style="19" width="12.67"/>
    <col collapsed="false" customWidth="true" hidden="false" outlineLevel="0" max="51" min="51" style="19" width="32.34"/>
  </cols>
  <sheetData>
    <row r="1" customFormat="false" ht="15.75" hidden="false" customHeight="false" outlineLevel="0" collapsed="false">
      <c r="A1" s="20" t="s">
        <v>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58"/>
      <c r="W1" s="59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</row>
    <row r="2" customFormat="false" ht="15.75" hidden="false" customHeight="true" outlineLevel="0" collapsed="false">
      <c r="A2" s="41" t="s">
        <v>6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1"/>
      <c r="U2" s="34" t="s">
        <v>276</v>
      </c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62" t="s">
        <v>277</v>
      </c>
      <c r="AH2" s="62"/>
      <c r="AI2" s="62"/>
      <c r="AJ2" s="62"/>
      <c r="AK2" s="62"/>
      <c r="AL2" s="62"/>
      <c r="AM2" s="63" t="s">
        <v>278</v>
      </c>
      <c r="AN2" s="63"/>
      <c r="AO2" s="63"/>
      <c r="AP2" s="64" t="s">
        <v>279</v>
      </c>
      <c r="AQ2" s="64"/>
      <c r="AR2" s="64"/>
      <c r="AS2" s="65" t="s">
        <v>280</v>
      </c>
      <c r="AT2" s="65"/>
      <c r="AU2" s="65"/>
      <c r="AV2" s="65"/>
      <c r="AW2" s="65"/>
      <c r="AX2" s="65"/>
      <c r="AY2" s="65"/>
      <c r="AZ2" s="65"/>
      <c r="BA2" s="65"/>
      <c r="BB2" s="65"/>
      <c r="BC2" s="65"/>
    </row>
    <row r="3" customFormat="false" ht="122.35" hidden="false" customHeight="false" outlineLevel="0" collapsed="false">
      <c r="A3" s="27" t="s">
        <v>7</v>
      </c>
      <c r="B3" s="28" t="s">
        <v>2</v>
      </c>
      <c r="C3" s="28" t="s">
        <v>8</v>
      </c>
      <c r="D3" s="27" t="s">
        <v>9</v>
      </c>
      <c r="E3" s="27" t="s">
        <v>10</v>
      </c>
      <c r="F3" s="30" t="s">
        <v>11</v>
      </c>
      <c r="G3" s="30" t="s">
        <v>12</v>
      </c>
      <c r="H3" s="30" t="s">
        <v>13</v>
      </c>
      <c r="I3" s="31" t="s">
        <v>14</v>
      </c>
      <c r="J3" s="28" t="s">
        <v>15</v>
      </c>
      <c r="K3" s="28" t="s">
        <v>16</v>
      </c>
      <c r="L3" s="28" t="s">
        <v>17</v>
      </c>
      <c r="M3" s="28" t="s">
        <v>1</v>
      </c>
      <c r="N3" s="28" t="s">
        <v>18</v>
      </c>
      <c r="O3" s="28" t="s">
        <v>19</v>
      </c>
      <c r="P3" s="28" t="s">
        <v>20</v>
      </c>
      <c r="Q3" s="28" t="s">
        <v>21</v>
      </c>
      <c r="R3" s="27" t="s">
        <v>22</v>
      </c>
      <c r="S3" s="28" t="s">
        <v>23</v>
      </c>
      <c r="T3" s="28" t="s">
        <v>24</v>
      </c>
      <c r="U3" s="34" t="s">
        <v>281</v>
      </c>
      <c r="V3" s="66" t="s">
        <v>282</v>
      </c>
      <c r="W3" s="67" t="s">
        <v>283</v>
      </c>
      <c r="X3" s="34" t="s">
        <v>284</v>
      </c>
      <c r="Y3" s="65" t="s">
        <v>285</v>
      </c>
      <c r="Z3" s="65" t="s">
        <v>286</v>
      </c>
      <c r="AA3" s="34" t="s">
        <v>287</v>
      </c>
      <c r="AB3" s="34" t="s">
        <v>25</v>
      </c>
      <c r="AC3" s="34" t="s">
        <v>26</v>
      </c>
      <c r="AD3" s="34" t="s">
        <v>104</v>
      </c>
      <c r="AE3" s="34" t="s">
        <v>105</v>
      </c>
      <c r="AF3" s="34" t="s">
        <v>106</v>
      </c>
      <c r="AG3" s="35" t="s">
        <v>288</v>
      </c>
      <c r="AH3" s="35" t="s">
        <v>289</v>
      </c>
      <c r="AI3" s="35" t="s">
        <v>290</v>
      </c>
      <c r="AJ3" s="35" t="s">
        <v>291</v>
      </c>
      <c r="AK3" s="35" t="s">
        <v>27</v>
      </c>
      <c r="AL3" s="35" t="s">
        <v>28</v>
      </c>
      <c r="AM3" s="63" t="s">
        <v>292</v>
      </c>
      <c r="AN3" s="68" t="s">
        <v>293</v>
      </c>
      <c r="AO3" s="68" t="s">
        <v>294</v>
      </c>
      <c r="AP3" s="64" t="s">
        <v>295</v>
      </c>
      <c r="AQ3" s="69" t="s">
        <v>296</v>
      </c>
      <c r="AR3" s="69" t="s">
        <v>297</v>
      </c>
      <c r="AS3" s="34" t="s">
        <v>298</v>
      </c>
      <c r="AT3" s="70" t="s">
        <v>299</v>
      </c>
      <c r="AU3" s="71" t="s">
        <v>300</v>
      </c>
      <c r="AV3" s="70" t="s">
        <v>301</v>
      </c>
      <c r="AW3" s="70" t="s">
        <v>302</v>
      </c>
      <c r="AX3" s="72" t="s">
        <v>303</v>
      </c>
      <c r="AY3" s="72" t="s">
        <v>304</v>
      </c>
      <c r="AZ3" s="72" t="s">
        <v>305</v>
      </c>
      <c r="BA3" s="72" t="s">
        <v>306</v>
      </c>
      <c r="BB3" s="72" t="s">
        <v>307</v>
      </c>
      <c r="BC3" s="34" t="s">
        <v>308</v>
      </c>
    </row>
    <row r="4" customFormat="false" ht="310.4" hidden="false" customHeight="false" outlineLevel="0" collapsed="false">
      <c r="A4" s="45" t="s">
        <v>29</v>
      </c>
      <c r="B4" s="45" t="s">
        <v>4</v>
      </c>
      <c r="C4" s="45" t="s">
        <v>30</v>
      </c>
      <c r="D4" s="45" t="s">
        <v>31</v>
      </c>
      <c r="E4" s="45" t="s">
        <v>32</v>
      </c>
      <c r="F4" s="45"/>
      <c r="G4" s="45" t="s">
        <v>33</v>
      </c>
      <c r="H4" s="45" t="s">
        <v>47</v>
      </c>
      <c r="I4" s="45" t="s">
        <v>183</v>
      </c>
      <c r="J4" s="45" t="s">
        <v>181</v>
      </c>
      <c r="K4" s="45" t="s">
        <v>37</v>
      </c>
      <c r="L4" s="45" t="s">
        <v>309</v>
      </c>
      <c r="M4" s="45" t="n">
        <v>2017</v>
      </c>
      <c r="N4" s="45" t="n">
        <v>30</v>
      </c>
      <c r="O4" s="45" t="n">
        <v>30</v>
      </c>
      <c r="P4" s="46" t="n">
        <v>6000</v>
      </c>
      <c r="Q4" s="46" t="n">
        <v>6000</v>
      </c>
      <c r="R4" s="45" t="s">
        <v>39</v>
      </c>
      <c r="S4" s="45" t="s">
        <v>184</v>
      </c>
      <c r="T4" s="45" t="s">
        <v>185</v>
      </c>
      <c r="U4" s="73" t="n">
        <v>585000</v>
      </c>
      <c r="V4" s="73" t="n">
        <f aca="false">N4*200*35</f>
        <v>210000</v>
      </c>
      <c r="W4" s="73" t="n">
        <f aca="false">N4*3000</f>
        <v>90000</v>
      </c>
      <c r="X4" s="73" t="n">
        <v>435000</v>
      </c>
      <c r="Y4" s="73" t="n">
        <f aca="false">N4*3000</f>
        <v>90000</v>
      </c>
      <c r="Z4" s="73" t="n">
        <f aca="false">N4*5000</f>
        <v>150000</v>
      </c>
      <c r="AA4" s="45"/>
      <c r="AB4" s="74" t="n">
        <v>42824</v>
      </c>
      <c r="AC4" s="47" t="n">
        <v>43830</v>
      </c>
      <c r="AD4" s="45" t="n">
        <v>1</v>
      </c>
      <c r="AE4" s="45"/>
      <c r="AF4" s="75" t="n">
        <v>44375</v>
      </c>
      <c r="AG4" s="45" t="n">
        <v>0</v>
      </c>
      <c r="AH4" s="73" t="n">
        <v>1575000</v>
      </c>
      <c r="AI4" s="45"/>
      <c r="AJ4" s="47" t="n">
        <v>42823</v>
      </c>
      <c r="AK4" s="76" t="n">
        <v>43748</v>
      </c>
      <c r="AL4" s="48" t="n">
        <v>0.8832</v>
      </c>
      <c r="AM4" s="77" t="n">
        <v>42287</v>
      </c>
      <c r="AN4" s="45" t="s">
        <v>310</v>
      </c>
      <c r="AO4" s="45"/>
      <c r="AP4" s="45"/>
      <c r="AQ4" s="45" t="s">
        <v>311</v>
      </c>
      <c r="AR4" s="45" t="s">
        <v>312</v>
      </c>
      <c r="AS4" s="45" t="s">
        <v>313</v>
      </c>
      <c r="AT4" s="45" t="n">
        <v>4</v>
      </c>
      <c r="AU4" s="78" t="n">
        <f aca="false">O4*0.05</f>
        <v>1.5</v>
      </c>
      <c r="AV4" s="45"/>
      <c r="AW4" s="45"/>
      <c r="AX4" s="45"/>
      <c r="AY4" s="45"/>
      <c r="AZ4" s="45"/>
      <c r="BA4" s="45"/>
      <c r="BB4" s="45"/>
      <c r="BC4" s="79"/>
    </row>
    <row r="5" customFormat="false" ht="15.75" hidden="false" customHeight="false" outlineLevel="0" collapsed="false">
      <c r="A5" s="45" t="s">
        <v>29</v>
      </c>
      <c r="B5" s="45" t="s">
        <v>4</v>
      </c>
      <c r="C5" s="45" t="s">
        <v>30</v>
      </c>
      <c r="D5" s="45" t="s">
        <v>186</v>
      </c>
      <c r="E5" s="45" t="s">
        <v>32</v>
      </c>
      <c r="F5" s="45"/>
      <c r="G5" s="45" t="s">
        <v>33</v>
      </c>
      <c r="H5" s="45" t="s">
        <v>314</v>
      </c>
      <c r="I5" s="45" t="s">
        <v>187</v>
      </c>
      <c r="J5" s="45" t="s">
        <v>188</v>
      </c>
      <c r="K5" s="45" t="s">
        <v>315</v>
      </c>
      <c r="L5" s="45" t="s">
        <v>316</v>
      </c>
      <c r="M5" s="45" t="n">
        <v>2017</v>
      </c>
      <c r="N5" s="45" t="n">
        <v>50</v>
      </c>
      <c r="O5" s="45" t="n">
        <v>50</v>
      </c>
      <c r="P5" s="46" t="n">
        <v>83300</v>
      </c>
      <c r="Q5" s="46" t="n">
        <v>83300</v>
      </c>
      <c r="R5" s="45" t="s">
        <v>52</v>
      </c>
      <c r="S5" s="45" t="s">
        <v>189</v>
      </c>
      <c r="T5" s="45" t="s">
        <v>190</v>
      </c>
      <c r="U5" s="73" t="n">
        <v>1891400</v>
      </c>
      <c r="V5" s="73"/>
      <c r="W5" s="73" t="n">
        <f aca="false">N5*3000</f>
        <v>150000</v>
      </c>
      <c r="X5" s="73" t="n">
        <v>1641400</v>
      </c>
      <c r="Y5" s="73" t="n">
        <f aca="false">N5*3000</f>
        <v>150000</v>
      </c>
      <c r="Z5" s="73" t="n">
        <f aca="false">N5*5000</f>
        <v>250000</v>
      </c>
      <c r="AA5" s="73" t="n">
        <v>2041400</v>
      </c>
      <c r="AB5" s="74" t="n">
        <v>42824</v>
      </c>
      <c r="AC5" s="47" t="n">
        <v>43830</v>
      </c>
      <c r="AD5" s="45" t="n">
        <v>1</v>
      </c>
      <c r="AE5" s="45"/>
      <c r="AF5" s="75" t="n">
        <v>44368</v>
      </c>
      <c r="AG5" s="45" t="n">
        <v>0</v>
      </c>
      <c r="AH5" s="73" t="n">
        <v>2041400</v>
      </c>
      <c r="AI5" s="45"/>
      <c r="AJ5" s="47" t="n">
        <v>42823</v>
      </c>
      <c r="AK5" s="76" t="n">
        <v>43736</v>
      </c>
      <c r="AL5" s="48" t="n">
        <v>0.896</v>
      </c>
      <c r="AM5" s="45"/>
      <c r="AN5" s="45"/>
      <c r="AO5" s="45"/>
      <c r="AP5" s="45"/>
      <c r="AQ5" s="45" t="s">
        <v>311</v>
      </c>
      <c r="AR5" s="45" t="s">
        <v>317</v>
      </c>
      <c r="AS5" s="45" t="s">
        <v>313</v>
      </c>
      <c r="AT5" s="45" t="n">
        <v>6</v>
      </c>
      <c r="AU5" s="78" t="n">
        <f aca="false">O5*0.05</f>
        <v>2.5</v>
      </c>
      <c r="AV5" s="45"/>
      <c r="AW5" s="45"/>
      <c r="AX5" s="45"/>
      <c r="AY5" s="45"/>
      <c r="AZ5" s="45"/>
      <c r="BA5" s="45"/>
      <c r="BB5" s="45"/>
      <c r="BC5" s="79"/>
    </row>
    <row r="6" customFormat="false" ht="28.35" hidden="false" customHeight="false" outlineLevel="0" collapsed="false">
      <c r="A6" s="45" t="s">
        <v>29</v>
      </c>
      <c r="B6" s="45" t="s">
        <v>4</v>
      </c>
      <c r="C6" s="45" t="s">
        <v>30</v>
      </c>
      <c r="D6" s="45" t="s">
        <v>151</v>
      </c>
      <c r="E6" s="45" t="s">
        <v>32</v>
      </c>
      <c r="F6" s="45"/>
      <c r="G6" s="45" t="s">
        <v>33</v>
      </c>
      <c r="H6" s="45" t="s">
        <v>34</v>
      </c>
      <c r="I6" s="45" t="s">
        <v>191</v>
      </c>
      <c r="J6" s="45" t="s">
        <v>153</v>
      </c>
      <c r="K6" s="45" t="s">
        <v>318</v>
      </c>
      <c r="L6" s="45" t="s">
        <v>319</v>
      </c>
      <c r="M6" s="45" t="n">
        <v>2017</v>
      </c>
      <c r="N6" s="45" t="n">
        <v>50</v>
      </c>
      <c r="O6" s="45" t="n">
        <v>50</v>
      </c>
      <c r="P6" s="46" t="n">
        <v>10000</v>
      </c>
      <c r="Q6" s="46" t="n">
        <v>10000</v>
      </c>
      <c r="R6" s="45" t="s">
        <v>39</v>
      </c>
      <c r="S6" s="45" t="s">
        <v>184</v>
      </c>
      <c r="T6" s="45" t="s">
        <v>185</v>
      </c>
      <c r="U6" s="73" t="n">
        <v>975000</v>
      </c>
      <c r="V6" s="73" t="n">
        <f aca="false">N6*200*35</f>
        <v>350000</v>
      </c>
      <c r="W6" s="73" t="n">
        <f aca="false">N6*3000</f>
        <v>150000</v>
      </c>
      <c r="X6" s="73" t="n">
        <v>725000</v>
      </c>
      <c r="Y6" s="73" t="n">
        <f aca="false">N6*3000</f>
        <v>150000</v>
      </c>
      <c r="Z6" s="73" t="n">
        <f aca="false">N6*5000</f>
        <v>250000</v>
      </c>
      <c r="AA6" s="73" t="n">
        <v>975000</v>
      </c>
      <c r="AB6" s="74" t="n">
        <v>42824</v>
      </c>
      <c r="AC6" s="47" t="n">
        <v>43830</v>
      </c>
      <c r="AD6" s="45" t="n">
        <v>1</v>
      </c>
      <c r="AE6" s="45"/>
      <c r="AF6" s="75" t="n">
        <v>44375</v>
      </c>
      <c r="AG6" s="73" t="n">
        <v>1125000</v>
      </c>
      <c r="AH6" s="73" t="n">
        <v>0</v>
      </c>
      <c r="AI6" s="45"/>
      <c r="AJ6" s="47" t="n">
        <v>42823</v>
      </c>
      <c r="AK6" s="76" t="n">
        <v>43783</v>
      </c>
      <c r="AL6" s="48" t="n">
        <v>0.8676</v>
      </c>
      <c r="AM6" s="45"/>
      <c r="AN6" s="45"/>
      <c r="AO6" s="45"/>
      <c r="AP6" s="45"/>
      <c r="AQ6" s="45" t="s">
        <v>311</v>
      </c>
      <c r="AR6" s="45" t="s">
        <v>317</v>
      </c>
      <c r="AS6" s="45" t="s">
        <v>313</v>
      </c>
      <c r="AT6" s="45" t="n">
        <v>6</v>
      </c>
      <c r="AU6" s="78" t="n">
        <f aca="false">O6*0.05</f>
        <v>2.5</v>
      </c>
      <c r="AV6" s="45"/>
      <c r="AW6" s="45"/>
      <c r="AX6" s="45"/>
      <c r="AY6" s="45"/>
      <c r="AZ6" s="45"/>
      <c r="BA6" s="45"/>
      <c r="BB6" s="45"/>
      <c r="BC6" s="79"/>
    </row>
    <row r="7" customFormat="false" ht="28.35" hidden="false" customHeight="false" outlineLevel="0" collapsed="false">
      <c r="A7" s="45" t="s">
        <v>29</v>
      </c>
      <c r="B7" s="45" t="s">
        <v>4</v>
      </c>
      <c r="C7" s="45" t="s">
        <v>30</v>
      </c>
      <c r="D7" s="45" t="s">
        <v>151</v>
      </c>
      <c r="E7" s="45" t="s">
        <v>32</v>
      </c>
      <c r="F7" s="45"/>
      <c r="G7" s="45" t="s">
        <v>33</v>
      </c>
      <c r="H7" s="45" t="s">
        <v>34</v>
      </c>
      <c r="I7" s="45" t="s">
        <v>192</v>
      </c>
      <c r="J7" s="45" t="s">
        <v>171</v>
      </c>
      <c r="K7" s="45" t="s">
        <v>320</v>
      </c>
      <c r="L7" s="45" t="s">
        <v>321</v>
      </c>
      <c r="M7" s="45" t="n">
        <v>2017</v>
      </c>
      <c r="N7" s="45" t="n">
        <v>30</v>
      </c>
      <c r="O7" s="45" t="n">
        <v>30</v>
      </c>
      <c r="P7" s="46" t="n">
        <v>6000</v>
      </c>
      <c r="Q7" s="46" t="n">
        <v>6000</v>
      </c>
      <c r="R7" s="45" t="s">
        <v>39</v>
      </c>
      <c r="S7" s="45" t="s">
        <v>184</v>
      </c>
      <c r="T7" s="45" t="s">
        <v>185</v>
      </c>
      <c r="U7" s="73" t="n">
        <v>585000</v>
      </c>
      <c r="V7" s="73" t="n">
        <f aca="false">N7*200*35</f>
        <v>210000</v>
      </c>
      <c r="W7" s="73" t="n">
        <f aca="false">N7*3000</f>
        <v>90000</v>
      </c>
      <c r="X7" s="73" t="n">
        <v>435000</v>
      </c>
      <c r="Y7" s="73" t="n">
        <f aca="false">N7*3000</f>
        <v>90000</v>
      </c>
      <c r="Z7" s="73" t="n">
        <f aca="false">N7*5000</f>
        <v>150000</v>
      </c>
      <c r="AA7" s="73" t="n">
        <v>585000</v>
      </c>
      <c r="AB7" s="74" t="n">
        <v>42822</v>
      </c>
      <c r="AC7" s="47" t="n">
        <v>43830</v>
      </c>
      <c r="AD7" s="45" t="n">
        <v>1</v>
      </c>
      <c r="AE7" s="45"/>
      <c r="AF7" s="45"/>
      <c r="AG7" s="73" t="n">
        <v>675000</v>
      </c>
      <c r="AH7" s="73" t="n">
        <v>0</v>
      </c>
      <c r="AI7" s="45"/>
      <c r="AJ7" s="45"/>
      <c r="AK7" s="76" t="n">
        <v>43768</v>
      </c>
      <c r="AL7" s="48" t="n">
        <v>0.9044</v>
      </c>
      <c r="AM7" s="45"/>
      <c r="AN7" s="45"/>
      <c r="AO7" s="45"/>
      <c r="AP7" s="45"/>
      <c r="AQ7" s="45" t="s">
        <v>117</v>
      </c>
      <c r="AR7" s="45" t="s">
        <v>117</v>
      </c>
      <c r="AS7" s="45" t="s">
        <v>313</v>
      </c>
      <c r="AT7" s="45" t="n">
        <v>4</v>
      </c>
      <c r="AU7" s="78" t="n">
        <f aca="false">O7*0.05</f>
        <v>1.5</v>
      </c>
      <c r="AV7" s="45"/>
      <c r="AW7" s="45"/>
      <c r="AX7" s="45"/>
      <c r="AY7" s="45"/>
      <c r="AZ7" s="45"/>
      <c r="BA7" s="45"/>
      <c r="BB7" s="45"/>
      <c r="BC7" s="79"/>
    </row>
    <row r="8" customFormat="false" ht="135.8" hidden="false" customHeight="false" outlineLevel="0" collapsed="false">
      <c r="A8" s="45" t="s">
        <v>29</v>
      </c>
      <c r="B8" s="45" t="s">
        <v>4</v>
      </c>
      <c r="C8" s="45" t="s">
        <v>30</v>
      </c>
      <c r="D8" s="45" t="s">
        <v>72</v>
      </c>
      <c r="E8" s="45" t="s">
        <v>73</v>
      </c>
      <c r="F8" s="45"/>
      <c r="G8" s="45" t="s">
        <v>33</v>
      </c>
      <c r="H8" s="45" t="s">
        <v>47</v>
      </c>
      <c r="I8" s="45" t="s">
        <v>193</v>
      </c>
      <c r="J8" s="45" t="s">
        <v>75</v>
      </c>
      <c r="K8" s="45" t="s">
        <v>76</v>
      </c>
      <c r="L8" s="45" t="s">
        <v>322</v>
      </c>
      <c r="M8" s="45" t="n">
        <v>2017</v>
      </c>
      <c r="N8" s="45" t="n">
        <v>25</v>
      </c>
      <c r="O8" s="45" t="n">
        <v>25</v>
      </c>
      <c r="P8" s="46" t="n">
        <v>5000</v>
      </c>
      <c r="Q8" s="46" t="n">
        <v>5000</v>
      </c>
      <c r="R8" s="45" t="s">
        <v>39</v>
      </c>
      <c r="S8" s="45" t="s">
        <v>184</v>
      </c>
      <c r="T8" s="45" t="s">
        <v>185</v>
      </c>
      <c r="U8" s="73" t="n">
        <v>562500</v>
      </c>
      <c r="V8" s="73" t="n">
        <f aca="false">N8*200*35</f>
        <v>175000</v>
      </c>
      <c r="W8" s="73" t="n">
        <f aca="false">N8*3000</f>
        <v>75000</v>
      </c>
      <c r="X8" s="73" t="n">
        <v>362500</v>
      </c>
      <c r="Y8" s="73" t="n">
        <f aca="false">N8*3000</f>
        <v>75000</v>
      </c>
      <c r="Z8" s="73" t="n">
        <f aca="false">N8*5000</f>
        <v>125000</v>
      </c>
      <c r="AA8" s="73" t="n">
        <v>562500</v>
      </c>
      <c r="AB8" s="74" t="n">
        <v>42822</v>
      </c>
      <c r="AC8" s="47" t="n">
        <v>43830</v>
      </c>
      <c r="AD8" s="45" t="n">
        <v>1</v>
      </c>
      <c r="AE8" s="45"/>
      <c r="AF8" s="75" t="n">
        <v>44376</v>
      </c>
      <c r="AG8" s="45" t="n">
        <v>0</v>
      </c>
      <c r="AH8" s="73" t="n">
        <v>562500</v>
      </c>
      <c r="AI8" s="45"/>
      <c r="AJ8" s="47" t="n">
        <v>42823</v>
      </c>
      <c r="AK8" s="76" t="n">
        <v>43790</v>
      </c>
      <c r="AL8" s="48" t="n">
        <v>0.8706</v>
      </c>
      <c r="AM8" s="45" t="s">
        <v>323</v>
      </c>
      <c r="AN8" s="45" t="s">
        <v>324</v>
      </c>
      <c r="AO8" s="45"/>
      <c r="AP8" s="47" t="n">
        <v>44558</v>
      </c>
      <c r="AQ8" s="45" t="s">
        <v>325</v>
      </c>
      <c r="AR8" s="45" t="s">
        <v>326</v>
      </c>
      <c r="AS8" s="45" t="s">
        <v>313</v>
      </c>
      <c r="AT8" s="45" t="n">
        <v>3</v>
      </c>
      <c r="AU8" s="78" t="n">
        <f aca="false">O8*0.05</f>
        <v>1.25</v>
      </c>
      <c r="AV8" s="45"/>
      <c r="AW8" s="45"/>
      <c r="AX8" s="45"/>
      <c r="AY8" s="45"/>
      <c r="AZ8" s="45"/>
      <c r="BA8" s="45"/>
      <c r="BB8" s="45"/>
      <c r="BC8" s="79"/>
    </row>
    <row r="9" customFormat="false" ht="108.95" hidden="false" customHeight="false" outlineLevel="0" collapsed="false">
      <c r="A9" s="45" t="s">
        <v>29</v>
      </c>
      <c r="B9" s="45" t="s">
        <v>4</v>
      </c>
      <c r="C9" s="45" t="s">
        <v>30</v>
      </c>
      <c r="D9" s="45" t="s">
        <v>194</v>
      </c>
      <c r="E9" s="45" t="s">
        <v>32</v>
      </c>
      <c r="F9" s="45"/>
      <c r="G9" s="45" t="s">
        <v>33</v>
      </c>
      <c r="H9" s="45" t="s">
        <v>47</v>
      </c>
      <c r="I9" s="45" t="s">
        <v>195</v>
      </c>
      <c r="J9" s="45" t="s">
        <v>196</v>
      </c>
      <c r="K9" s="45" t="s">
        <v>327</v>
      </c>
      <c r="L9" s="45" t="s">
        <v>328</v>
      </c>
      <c r="M9" s="45" t="n">
        <v>2017</v>
      </c>
      <c r="N9" s="45" t="n">
        <v>50</v>
      </c>
      <c r="O9" s="45" t="n">
        <v>50</v>
      </c>
      <c r="P9" s="46" t="n">
        <v>10000</v>
      </c>
      <c r="Q9" s="46" t="n">
        <v>10000</v>
      </c>
      <c r="R9" s="45" t="s">
        <v>39</v>
      </c>
      <c r="S9" s="45" t="s">
        <v>184</v>
      </c>
      <c r="T9" s="45" t="s">
        <v>185</v>
      </c>
      <c r="U9" s="73" t="n">
        <v>1125000</v>
      </c>
      <c r="V9" s="73" t="n">
        <f aca="false">N9*200*35</f>
        <v>350000</v>
      </c>
      <c r="W9" s="73" t="n">
        <f aca="false">N9*6500</f>
        <v>325000</v>
      </c>
      <c r="X9" s="73" t="n">
        <v>725000</v>
      </c>
      <c r="Y9" s="73" t="n">
        <f aca="false">N9*3000</f>
        <v>150000</v>
      </c>
      <c r="Z9" s="73" t="n">
        <f aca="false">N9*5000</f>
        <v>250000</v>
      </c>
      <c r="AA9" s="73" t="n">
        <v>1125000</v>
      </c>
      <c r="AB9" s="74" t="n">
        <v>42822</v>
      </c>
      <c r="AC9" s="47" t="n">
        <v>43830</v>
      </c>
      <c r="AD9" s="45" t="n">
        <v>1</v>
      </c>
      <c r="AE9" s="45"/>
      <c r="AF9" s="75" t="n">
        <v>44376</v>
      </c>
      <c r="AG9" s="45" t="n">
        <v>0</v>
      </c>
      <c r="AH9" s="73" t="n">
        <v>1125000</v>
      </c>
      <c r="AI9" s="45"/>
      <c r="AJ9" s="47" t="n">
        <v>42823</v>
      </c>
      <c r="AK9" s="76" t="n">
        <v>43757</v>
      </c>
      <c r="AL9" s="48" t="n">
        <v>0.8836</v>
      </c>
      <c r="AM9" s="45" t="n">
        <v>40</v>
      </c>
      <c r="AN9" s="45" t="s">
        <v>329</v>
      </c>
      <c r="AO9" s="45"/>
      <c r="AP9" s="45"/>
      <c r="AQ9" s="45" t="s">
        <v>117</v>
      </c>
      <c r="AR9" s="45" t="s">
        <v>117</v>
      </c>
      <c r="AS9" s="45" t="s">
        <v>313</v>
      </c>
      <c r="AT9" s="45" t="n">
        <v>6</v>
      </c>
      <c r="AU9" s="78" t="n">
        <f aca="false">O9*0.05</f>
        <v>2.5</v>
      </c>
      <c r="AV9" s="45"/>
      <c r="AW9" s="45"/>
      <c r="AX9" s="45"/>
      <c r="AY9" s="45"/>
      <c r="AZ9" s="45"/>
      <c r="BA9" s="45"/>
      <c r="BB9" s="45"/>
      <c r="BC9" s="79"/>
    </row>
    <row r="10" customFormat="false" ht="243.25" hidden="false" customHeight="false" outlineLevel="0" collapsed="false">
      <c r="A10" s="45" t="s">
        <v>29</v>
      </c>
      <c r="B10" s="45" t="s">
        <v>4</v>
      </c>
      <c r="C10" s="45" t="s">
        <v>30</v>
      </c>
      <c r="D10" s="45" t="s">
        <v>31</v>
      </c>
      <c r="E10" s="45" t="s">
        <v>32</v>
      </c>
      <c r="F10" s="45"/>
      <c r="G10" s="45" t="s">
        <v>33</v>
      </c>
      <c r="H10" s="45" t="s">
        <v>314</v>
      </c>
      <c r="I10" s="45" t="s">
        <v>197</v>
      </c>
      <c r="J10" s="45" t="s">
        <v>181</v>
      </c>
      <c r="K10" s="45" t="s">
        <v>37</v>
      </c>
      <c r="L10" s="45" t="s">
        <v>330</v>
      </c>
      <c r="M10" s="45" t="n">
        <v>2017</v>
      </c>
      <c r="N10" s="45" t="n">
        <v>40</v>
      </c>
      <c r="O10" s="45" t="n">
        <v>40</v>
      </c>
      <c r="P10" s="46" t="n">
        <v>8000</v>
      </c>
      <c r="Q10" s="46" t="n">
        <v>8000</v>
      </c>
      <c r="R10" s="45" t="s">
        <v>39</v>
      </c>
      <c r="S10" s="45" t="s">
        <v>184</v>
      </c>
      <c r="T10" s="45" t="s">
        <v>185</v>
      </c>
      <c r="U10" s="46" t="n">
        <v>900000</v>
      </c>
      <c r="V10" s="73" t="n">
        <f aca="false">N10*200*35</f>
        <v>280000</v>
      </c>
      <c r="W10" s="73" t="n">
        <f aca="false">N10*6500</f>
        <v>260000</v>
      </c>
      <c r="X10" s="46" t="n">
        <v>580000</v>
      </c>
      <c r="Y10" s="73" t="n">
        <f aca="false">N10*3000</f>
        <v>120000</v>
      </c>
      <c r="Z10" s="73" t="n">
        <f aca="false">N10*5000</f>
        <v>200000</v>
      </c>
      <c r="AA10" s="45"/>
      <c r="AB10" s="74" t="n">
        <v>42823</v>
      </c>
      <c r="AC10" s="47" t="n">
        <v>43830</v>
      </c>
      <c r="AD10" s="45" t="n">
        <v>1</v>
      </c>
      <c r="AE10" s="45"/>
      <c r="AF10" s="45"/>
      <c r="AG10" s="45"/>
      <c r="AH10" s="45"/>
      <c r="AI10" s="45"/>
      <c r="AJ10" s="47" t="n">
        <v>42822</v>
      </c>
      <c r="AK10" s="76" t="n">
        <v>43748</v>
      </c>
      <c r="AL10" s="48" t="n">
        <v>0.8832</v>
      </c>
      <c r="AM10" s="45" t="s">
        <v>331</v>
      </c>
      <c r="AN10" s="45" t="s">
        <v>332</v>
      </c>
      <c r="AO10" s="45"/>
      <c r="AP10" s="45"/>
      <c r="AQ10" s="45" t="s">
        <v>311</v>
      </c>
      <c r="AR10" s="45" t="s">
        <v>312</v>
      </c>
      <c r="AS10" s="45" t="s">
        <v>313</v>
      </c>
      <c r="AT10" s="45" t="n">
        <v>5</v>
      </c>
      <c r="AU10" s="78" t="n">
        <f aca="false">O10*0.05</f>
        <v>2</v>
      </c>
      <c r="AV10" s="45"/>
      <c r="AW10" s="45"/>
      <c r="AX10" s="45"/>
      <c r="AY10" s="45"/>
      <c r="AZ10" s="45"/>
      <c r="BA10" s="45"/>
      <c r="BB10" s="45"/>
      <c r="BC10" s="79"/>
    </row>
    <row r="11" customFormat="false" ht="82.05" hidden="false" customHeight="false" outlineLevel="0" collapsed="false">
      <c r="A11" s="45" t="s">
        <v>29</v>
      </c>
      <c r="B11" s="45" t="s">
        <v>4</v>
      </c>
      <c r="C11" s="45" t="s">
        <v>30</v>
      </c>
      <c r="D11" s="45" t="s">
        <v>198</v>
      </c>
      <c r="E11" s="45" t="s">
        <v>79</v>
      </c>
      <c r="F11" s="45"/>
      <c r="G11" s="45" t="s">
        <v>80</v>
      </c>
      <c r="H11" s="45" t="s">
        <v>34</v>
      </c>
      <c r="I11" s="45" t="s">
        <v>199</v>
      </c>
      <c r="J11" s="45" t="s">
        <v>200</v>
      </c>
      <c r="K11" s="45" t="s">
        <v>333</v>
      </c>
      <c r="L11" s="45" t="s">
        <v>334</v>
      </c>
      <c r="M11" s="45" t="n">
        <v>2017</v>
      </c>
      <c r="N11" s="45" t="n">
        <v>50</v>
      </c>
      <c r="O11" s="45" t="n">
        <v>50</v>
      </c>
      <c r="P11" s="46" t="n">
        <v>10000</v>
      </c>
      <c r="Q11" s="46" t="n">
        <v>10000</v>
      </c>
      <c r="R11" s="45" t="s">
        <v>39</v>
      </c>
      <c r="S11" s="45" t="s">
        <v>184</v>
      </c>
      <c r="T11" s="45" t="s">
        <v>185</v>
      </c>
      <c r="U11" s="73" t="n">
        <v>1125000</v>
      </c>
      <c r="V11" s="73" t="n">
        <f aca="false">N11*200*35</f>
        <v>350000</v>
      </c>
      <c r="W11" s="73" t="n">
        <f aca="false">N11*6500</f>
        <v>325000</v>
      </c>
      <c r="X11" s="73" t="n">
        <v>725000</v>
      </c>
      <c r="Y11" s="73" t="n">
        <f aca="false">N11*3000</f>
        <v>150000</v>
      </c>
      <c r="Z11" s="73" t="n">
        <f aca="false">N11*5000</f>
        <v>250000</v>
      </c>
      <c r="AA11" s="73" t="n">
        <v>1125000</v>
      </c>
      <c r="AB11" s="74" t="n">
        <v>42822</v>
      </c>
      <c r="AC11" s="47" t="n">
        <v>43830</v>
      </c>
      <c r="AD11" s="45" t="n">
        <v>1</v>
      </c>
      <c r="AE11" s="45"/>
      <c r="AF11" s="75" t="n">
        <v>44368</v>
      </c>
      <c r="AG11" s="45" t="n">
        <v>0</v>
      </c>
      <c r="AH11" s="73" t="n">
        <v>1125000</v>
      </c>
      <c r="AI11" s="45"/>
      <c r="AJ11" s="47" t="n">
        <v>42822</v>
      </c>
      <c r="AK11" s="76" t="n">
        <v>43783</v>
      </c>
      <c r="AL11" s="48" t="n">
        <v>0.8676</v>
      </c>
      <c r="AM11" s="45" t="n">
        <v>20</v>
      </c>
      <c r="AN11" s="45" t="s">
        <v>335</v>
      </c>
      <c r="AO11" s="45" t="s">
        <v>336</v>
      </c>
      <c r="AP11" s="45"/>
      <c r="AQ11" s="45" t="s">
        <v>117</v>
      </c>
      <c r="AR11" s="45" t="s">
        <v>117</v>
      </c>
      <c r="AS11" s="45" t="s">
        <v>313</v>
      </c>
      <c r="AT11" s="45" t="n">
        <v>6</v>
      </c>
      <c r="AU11" s="78" t="n">
        <f aca="false">O11*0.05</f>
        <v>2.5</v>
      </c>
      <c r="AV11" s="45"/>
      <c r="AW11" s="45"/>
      <c r="AX11" s="45"/>
      <c r="AY11" s="45"/>
      <c r="AZ11" s="45"/>
      <c r="BA11" s="45"/>
      <c r="BB11" s="45"/>
      <c r="BC11" s="79"/>
    </row>
    <row r="12" customFormat="false" ht="256.7" hidden="false" customHeight="false" outlineLevel="0" collapsed="false">
      <c r="A12" s="45" t="s">
        <v>29</v>
      </c>
      <c r="B12" s="45" t="s">
        <v>4</v>
      </c>
      <c r="C12" s="45" t="s">
        <v>30</v>
      </c>
      <c r="D12" s="45" t="s">
        <v>55</v>
      </c>
      <c r="E12" s="45" t="s">
        <v>32</v>
      </c>
      <c r="F12" s="45"/>
      <c r="G12" s="45" t="s">
        <v>33</v>
      </c>
      <c r="H12" s="45" t="s">
        <v>47</v>
      </c>
      <c r="I12" s="45" t="s">
        <v>201</v>
      </c>
      <c r="J12" s="45" t="s">
        <v>202</v>
      </c>
      <c r="K12" s="45" t="s">
        <v>337</v>
      </c>
      <c r="L12" s="45" t="s">
        <v>338</v>
      </c>
      <c r="M12" s="45" t="n">
        <v>2017</v>
      </c>
      <c r="N12" s="45" t="n">
        <v>50</v>
      </c>
      <c r="O12" s="45" t="n">
        <v>50</v>
      </c>
      <c r="P12" s="46" t="n">
        <v>10000</v>
      </c>
      <c r="Q12" s="46" t="n">
        <v>10000</v>
      </c>
      <c r="R12" s="45" t="s">
        <v>39</v>
      </c>
      <c r="S12" s="45" t="s">
        <v>184</v>
      </c>
      <c r="T12" s="45" t="s">
        <v>185</v>
      </c>
      <c r="U12" s="73" t="n">
        <v>1125000</v>
      </c>
      <c r="V12" s="73" t="n">
        <f aca="false">N12*200*35</f>
        <v>350000</v>
      </c>
      <c r="W12" s="73" t="n">
        <f aca="false">N12*6500</f>
        <v>325000</v>
      </c>
      <c r="X12" s="73" t="n">
        <v>725000</v>
      </c>
      <c r="Y12" s="73" t="n">
        <f aca="false">N12*3000</f>
        <v>150000</v>
      </c>
      <c r="Z12" s="73" t="n">
        <f aca="false">N12*5000</f>
        <v>250000</v>
      </c>
      <c r="AA12" s="73" t="n">
        <v>1125000</v>
      </c>
      <c r="AB12" s="74" t="n">
        <v>42824</v>
      </c>
      <c r="AC12" s="47" t="n">
        <v>43830</v>
      </c>
      <c r="AD12" s="45" t="n">
        <v>1</v>
      </c>
      <c r="AE12" s="45"/>
      <c r="AF12" s="75" t="n">
        <v>44382</v>
      </c>
      <c r="AG12" s="45" t="n">
        <v>0</v>
      </c>
      <c r="AH12" s="73" t="n">
        <v>1125000</v>
      </c>
      <c r="AI12" s="45"/>
      <c r="AJ12" s="47" t="n">
        <v>42823</v>
      </c>
      <c r="AK12" s="76" t="n">
        <v>43718</v>
      </c>
      <c r="AL12" s="48" t="n">
        <v>0.8824</v>
      </c>
      <c r="AM12" s="45" t="s">
        <v>339</v>
      </c>
      <c r="AN12" s="45" t="s">
        <v>340</v>
      </c>
      <c r="AO12" s="45"/>
      <c r="AP12" s="45"/>
      <c r="AQ12" s="45" t="s">
        <v>325</v>
      </c>
      <c r="AR12" s="45" t="s">
        <v>341</v>
      </c>
      <c r="AS12" s="45" t="s">
        <v>313</v>
      </c>
      <c r="AT12" s="45" t="n">
        <v>6</v>
      </c>
      <c r="AU12" s="78" t="n">
        <f aca="false">O12*0.05</f>
        <v>2.5</v>
      </c>
      <c r="AV12" s="45"/>
      <c r="AW12" s="45"/>
      <c r="AX12" s="45"/>
      <c r="AY12" s="45"/>
      <c r="AZ12" s="45"/>
      <c r="BA12" s="45"/>
      <c r="BB12" s="45"/>
      <c r="BC12" s="79"/>
    </row>
    <row r="13" customFormat="false" ht="162.65" hidden="false" customHeight="false" outlineLevel="0" collapsed="false">
      <c r="A13" s="45" t="s">
        <v>29</v>
      </c>
      <c r="B13" s="45" t="s">
        <v>4</v>
      </c>
      <c r="C13" s="45" t="s">
        <v>30</v>
      </c>
      <c r="D13" s="45" t="s">
        <v>203</v>
      </c>
      <c r="E13" s="45" t="s">
        <v>204</v>
      </c>
      <c r="F13" s="45"/>
      <c r="G13" s="45" t="s">
        <v>33</v>
      </c>
      <c r="H13" s="45" t="s">
        <v>47</v>
      </c>
      <c r="I13" s="45" t="s">
        <v>205</v>
      </c>
      <c r="J13" s="45" t="s">
        <v>206</v>
      </c>
      <c r="K13" s="45" t="s">
        <v>342</v>
      </c>
      <c r="L13" s="45" t="s">
        <v>343</v>
      </c>
      <c r="M13" s="45" t="n">
        <v>2017</v>
      </c>
      <c r="N13" s="45" t="n">
        <v>25</v>
      </c>
      <c r="O13" s="45" t="n">
        <v>25</v>
      </c>
      <c r="P13" s="46" t="n">
        <v>5000</v>
      </c>
      <c r="Q13" s="46" t="n">
        <v>5000</v>
      </c>
      <c r="R13" s="45" t="s">
        <v>39</v>
      </c>
      <c r="S13" s="45" t="s">
        <v>184</v>
      </c>
      <c r="T13" s="45" t="s">
        <v>185</v>
      </c>
      <c r="U13" s="73" t="n">
        <v>562500</v>
      </c>
      <c r="V13" s="73" t="n">
        <f aca="false">N13*200*35</f>
        <v>175000</v>
      </c>
      <c r="W13" s="73" t="n">
        <f aca="false">N13*6500</f>
        <v>162500</v>
      </c>
      <c r="X13" s="73" t="n">
        <v>362500</v>
      </c>
      <c r="Y13" s="73" t="n">
        <f aca="false">N13*3000</f>
        <v>75000</v>
      </c>
      <c r="Z13" s="73" t="n">
        <f aca="false">N13*5000</f>
        <v>125000</v>
      </c>
      <c r="AA13" s="73" t="n">
        <v>562500</v>
      </c>
      <c r="AB13" s="74" t="n">
        <v>42822</v>
      </c>
      <c r="AC13" s="47" t="n">
        <v>43830</v>
      </c>
      <c r="AD13" s="45" t="n">
        <v>1</v>
      </c>
      <c r="AE13" s="45"/>
      <c r="AF13" s="75" t="n">
        <v>44376</v>
      </c>
      <c r="AG13" s="45" t="n">
        <v>0</v>
      </c>
      <c r="AH13" s="73" t="n">
        <v>562500</v>
      </c>
      <c r="AI13" s="45"/>
      <c r="AJ13" s="47" t="n">
        <v>42823</v>
      </c>
      <c r="AK13" s="76" t="n">
        <v>43739</v>
      </c>
      <c r="AL13" s="48" t="n">
        <v>0.8752</v>
      </c>
      <c r="AM13" s="80" t="n">
        <v>45425</v>
      </c>
      <c r="AN13" s="45" t="s">
        <v>344</v>
      </c>
      <c r="AO13" s="45"/>
      <c r="AP13" s="45"/>
      <c r="AQ13" s="45" t="s">
        <v>117</v>
      </c>
      <c r="AR13" s="45" t="s">
        <v>117</v>
      </c>
      <c r="AS13" s="45" t="s">
        <v>313</v>
      </c>
      <c r="AT13" s="45" t="n">
        <v>3</v>
      </c>
      <c r="AU13" s="78" t="n">
        <f aca="false">O13*0.05</f>
        <v>1.25</v>
      </c>
      <c r="AV13" s="45"/>
      <c r="AW13" s="45"/>
      <c r="AX13" s="45"/>
      <c r="AY13" s="45"/>
      <c r="AZ13" s="45"/>
      <c r="BA13" s="45"/>
      <c r="BB13" s="45"/>
      <c r="BC13" s="79"/>
    </row>
    <row r="14" customFormat="false" ht="15.75" hidden="false" customHeight="false" outlineLevel="0" collapsed="false">
      <c r="A14" s="45" t="s">
        <v>29</v>
      </c>
      <c r="B14" s="45" t="s">
        <v>4</v>
      </c>
      <c r="C14" s="45" t="s">
        <v>43</v>
      </c>
      <c r="D14" s="45" t="s">
        <v>107</v>
      </c>
      <c r="E14" s="45" t="s">
        <v>45</v>
      </c>
      <c r="F14" s="45"/>
      <c r="G14" s="45" t="s">
        <v>80</v>
      </c>
      <c r="H14" s="45" t="s">
        <v>47</v>
      </c>
      <c r="I14" s="45" t="s">
        <v>207</v>
      </c>
      <c r="J14" s="45" t="s">
        <v>208</v>
      </c>
      <c r="K14" s="45" t="s">
        <v>345</v>
      </c>
      <c r="L14" s="45" t="s">
        <v>346</v>
      </c>
      <c r="M14" s="45" t="n">
        <v>2017</v>
      </c>
      <c r="N14" s="45" t="n">
        <v>50</v>
      </c>
      <c r="O14" s="45" t="n">
        <v>50</v>
      </c>
      <c r="P14" s="46" t="n">
        <v>83300</v>
      </c>
      <c r="Q14" s="46" t="n">
        <v>83300</v>
      </c>
      <c r="R14" s="45" t="s">
        <v>39</v>
      </c>
      <c r="S14" s="45" t="s">
        <v>53</v>
      </c>
      <c r="T14" s="45" t="s">
        <v>209</v>
      </c>
      <c r="U14" s="73" t="n">
        <v>2041400</v>
      </c>
      <c r="V14" s="73" t="n">
        <f aca="false">N14*500*25</f>
        <v>625000</v>
      </c>
      <c r="W14" s="73" t="n">
        <f aca="false">N14*6500</f>
        <v>325000</v>
      </c>
      <c r="X14" s="73" t="n">
        <v>1641400</v>
      </c>
      <c r="Y14" s="73" t="n">
        <f aca="false">N14*3000</f>
        <v>150000</v>
      </c>
      <c r="Z14" s="73" t="n">
        <f aca="false">N14*5000</f>
        <v>250000</v>
      </c>
      <c r="AA14" s="73" t="n">
        <v>2041400</v>
      </c>
      <c r="AB14" s="74" t="n">
        <v>42810</v>
      </c>
      <c r="AC14" s="47" t="n">
        <v>43830</v>
      </c>
      <c r="AD14" s="45" t="n">
        <v>1</v>
      </c>
      <c r="AE14" s="45"/>
      <c r="AF14" s="75" t="n">
        <v>44382</v>
      </c>
      <c r="AG14" s="45" t="n">
        <v>0</v>
      </c>
      <c r="AH14" s="73" t="n">
        <v>2041400</v>
      </c>
      <c r="AI14" s="45"/>
      <c r="AJ14" s="47" t="n">
        <v>42823</v>
      </c>
      <c r="AK14" s="76" t="n">
        <v>43720</v>
      </c>
      <c r="AL14" s="48" t="n">
        <v>0.8873</v>
      </c>
      <c r="AM14" s="45"/>
      <c r="AN14" s="45"/>
      <c r="AO14" s="45"/>
      <c r="AP14" s="45"/>
      <c r="AQ14" s="45" t="s">
        <v>117</v>
      </c>
      <c r="AR14" s="45" t="s">
        <v>117</v>
      </c>
      <c r="AS14" s="45" t="s">
        <v>313</v>
      </c>
      <c r="AT14" s="45" t="n">
        <v>6</v>
      </c>
      <c r="AU14" s="78" t="n">
        <f aca="false">O14*0.05</f>
        <v>2.5</v>
      </c>
      <c r="AV14" s="45"/>
      <c r="AW14" s="45"/>
      <c r="AX14" s="45"/>
      <c r="AY14" s="45"/>
      <c r="AZ14" s="45"/>
      <c r="BA14" s="45"/>
      <c r="BB14" s="45"/>
      <c r="BC14" s="79"/>
    </row>
    <row r="15" customFormat="false" ht="28.35" hidden="false" customHeight="false" outlineLevel="0" collapsed="false">
      <c r="A15" s="45" t="s">
        <v>29</v>
      </c>
      <c r="B15" s="45" t="s">
        <v>4</v>
      </c>
      <c r="C15" s="45" t="s">
        <v>30</v>
      </c>
      <c r="D15" s="45" t="s">
        <v>151</v>
      </c>
      <c r="E15" s="45" t="s">
        <v>32</v>
      </c>
      <c r="F15" s="45"/>
      <c r="G15" s="45" t="s">
        <v>33</v>
      </c>
      <c r="H15" s="45" t="s">
        <v>34</v>
      </c>
      <c r="I15" s="45" t="s">
        <v>210</v>
      </c>
      <c r="J15" s="45" t="s">
        <v>171</v>
      </c>
      <c r="K15" s="45" t="s">
        <v>320</v>
      </c>
      <c r="L15" s="45" t="s">
        <v>347</v>
      </c>
      <c r="M15" s="45" t="n">
        <v>2017</v>
      </c>
      <c r="N15" s="45" t="n">
        <v>50</v>
      </c>
      <c r="O15" s="45" t="n">
        <v>50</v>
      </c>
      <c r="P15" s="46" t="n">
        <v>83300</v>
      </c>
      <c r="Q15" s="46" t="n">
        <v>83300</v>
      </c>
      <c r="R15" s="45" t="s">
        <v>39</v>
      </c>
      <c r="S15" s="45" t="s">
        <v>211</v>
      </c>
      <c r="T15" s="45" t="s">
        <v>212</v>
      </c>
      <c r="U15" s="73" t="n">
        <v>2041400</v>
      </c>
      <c r="V15" s="73" t="n">
        <f aca="false">N15*500*25</f>
        <v>625000</v>
      </c>
      <c r="W15" s="73" t="n">
        <f aca="false">N15*6500</f>
        <v>325000</v>
      </c>
      <c r="X15" s="73" t="n">
        <v>1641400</v>
      </c>
      <c r="Y15" s="73" t="n">
        <f aca="false">N15*3000</f>
        <v>150000</v>
      </c>
      <c r="Z15" s="73" t="n">
        <f aca="false">N15*5000</f>
        <v>250000</v>
      </c>
      <c r="AA15" s="73" t="n">
        <v>1891400</v>
      </c>
      <c r="AB15" s="74" t="n">
        <v>42824</v>
      </c>
      <c r="AC15" s="47" t="n">
        <v>43830</v>
      </c>
      <c r="AD15" s="45" t="n">
        <v>1</v>
      </c>
      <c r="AE15" s="45"/>
      <c r="AF15" s="45"/>
      <c r="AG15" s="73" t="n">
        <v>2041400</v>
      </c>
      <c r="AH15" s="73" t="n">
        <v>0</v>
      </c>
      <c r="AI15" s="45"/>
      <c r="AJ15" s="47" t="n">
        <v>42794</v>
      </c>
      <c r="AK15" s="76" t="n">
        <v>43767</v>
      </c>
      <c r="AL15" s="48" t="n">
        <v>0.8991</v>
      </c>
      <c r="AM15" s="45"/>
      <c r="AN15" s="45"/>
      <c r="AO15" s="45"/>
      <c r="AP15" s="45"/>
      <c r="AQ15" s="45" t="s">
        <v>117</v>
      </c>
      <c r="AR15" s="45" t="s">
        <v>117</v>
      </c>
      <c r="AS15" s="45" t="s">
        <v>313</v>
      </c>
      <c r="AT15" s="45" t="n">
        <v>6</v>
      </c>
      <c r="AU15" s="78" t="n">
        <f aca="false">O15*0.05</f>
        <v>2.5</v>
      </c>
      <c r="AV15" s="45"/>
      <c r="AW15" s="45"/>
      <c r="AX15" s="45"/>
      <c r="AY15" s="45"/>
      <c r="AZ15" s="45"/>
      <c r="BA15" s="45"/>
      <c r="BB15" s="45"/>
      <c r="BC15" s="79"/>
    </row>
    <row r="16" customFormat="false" ht="15.75" hidden="false" customHeight="false" outlineLevel="0" collapsed="false">
      <c r="A16" s="45" t="s">
        <v>29</v>
      </c>
      <c r="B16" s="45" t="s">
        <v>4</v>
      </c>
      <c r="C16" s="45" t="s">
        <v>30</v>
      </c>
      <c r="D16" s="45" t="s">
        <v>213</v>
      </c>
      <c r="E16" s="45" t="s">
        <v>178</v>
      </c>
      <c r="F16" s="45"/>
      <c r="G16" s="45" t="s">
        <v>33</v>
      </c>
      <c r="H16" s="45" t="s">
        <v>47</v>
      </c>
      <c r="I16" s="45" t="s">
        <v>214</v>
      </c>
      <c r="J16" s="45" t="s">
        <v>215</v>
      </c>
      <c r="K16" s="45" t="s">
        <v>348</v>
      </c>
      <c r="L16" s="45" t="s">
        <v>349</v>
      </c>
      <c r="M16" s="45" t="n">
        <v>2017</v>
      </c>
      <c r="N16" s="45" t="n">
        <v>50</v>
      </c>
      <c r="O16" s="45" t="n">
        <v>50</v>
      </c>
      <c r="P16" s="46" t="n">
        <v>83300</v>
      </c>
      <c r="Q16" s="46" t="n">
        <v>83300</v>
      </c>
      <c r="R16" s="45" t="s">
        <v>52</v>
      </c>
      <c r="S16" s="45" t="s">
        <v>53</v>
      </c>
      <c r="T16" s="45" t="s">
        <v>216</v>
      </c>
      <c r="U16" s="73" t="n">
        <v>2041400</v>
      </c>
      <c r="V16" s="73" t="n">
        <f aca="false">N16*500*25</f>
        <v>625000</v>
      </c>
      <c r="W16" s="73" t="n">
        <f aca="false">N16*6500</f>
        <v>325000</v>
      </c>
      <c r="X16" s="73" t="n">
        <v>1641400</v>
      </c>
      <c r="Y16" s="73" t="n">
        <f aca="false">N16*3000</f>
        <v>150000</v>
      </c>
      <c r="Z16" s="73" t="n">
        <f aca="false">N16*5000</f>
        <v>250000</v>
      </c>
      <c r="AA16" s="73" t="n">
        <v>2041400</v>
      </c>
      <c r="AB16" s="74" t="n">
        <v>42810</v>
      </c>
      <c r="AC16" s="47" t="n">
        <v>43830</v>
      </c>
      <c r="AD16" s="45" t="n">
        <v>1</v>
      </c>
      <c r="AE16" s="45"/>
      <c r="AF16" s="75" t="n">
        <v>44382</v>
      </c>
      <c r="AG16" s="45" t="n">
        <v>0</v>
      </c>
      <c r="AH16" s="73" t="n">
        <v>2041400</v>
      </c>
      <c r="AI16" s="45"/>
      <c r="AJ16" s="81" t="n">
        <v>42802</v>
      </c>
      <c r="AK16" s="76" t="n">
        <v>43789</v>
      </c>
      <c r="AL16" s="48" t="n">
        <v>0.8558</v>
      </c>
      <c r="AM16" s="45"/>
      <c r="AN16" s="45"/>
      <c r="AO16" s="45"/>
      <c r="AP16" s="45"/>
      <c r="AQ16" s="45" t="s">
        <v>311</v>
      </c>
      <c r="AR16" s="45" t="s">
        <v>312</v>
      </c>
      <c r="AS16" s="45" t="s">
        <v>313</v>
      </c>
      <c r="AT16" s="45" t="n">
        <v>6</v>
      </c>
      <c r="AU16" s="78" t="n">
        <f aca="false">O16*0.05</f>
        <v>2.5</v>
      </c>
      <c r="AV16" s="45"/>
      <c r="AW16" s="45"/>
      <c r="AX16" s="45"/>
      <c r="AY16" s="45"/>
      <c r="AZ16" s="45"/>
      <c r="BA16" s="45"/>
      <c r="BB16" s="45"/>
      <c r="BC16" s="79"/>
    </row>
    <row r="17" customFormat="false" ht="95.5" hidden="false" customHeight="false" outlineLevel="0" collapsed="false">
      <c r="A17" s="45" t="s">
        <v>29</v>
      </c>
      <c r="B17" s="45" t="s">
        <v>4</v>
      </c>
      <c r="C17" s="45" t="s">
        <v>30</v>
      </c>
      <c r="D17" s="45" t="s">
        <v>217</v>
      </c>
      <c r="E17" s="45" t="s">
        <v>32</v>
      </c>
      <c r="F17" s="45"/>
      <c r="G17" s="45" t="s">
        <v>33</v>
      </c>
      <c r="H17" s="45" t="s">
        <v>47</v>
      </c>
      <c r="I17" s="45" t="s">
        <v>218</v>
      </c>
      <c r="J17" s="45" t="s">
        <v>219</v>
      </c>
      <c r="K17" s="45" t="s">
        <v>350</v>
      </c>
      <c r="L17" s="45" t="s">
        <v>351</v>
      </c>
      <c r="M17" s="45" t="n">
        <v>2017</v>
      </c>
      <c r="N17" s="45" t="n">
        <v>50</v>
      </c>
      <c r="O17" s="45" t="n">
        <v>50</v>
      </c>
      <c r="P17" s="46" t="n">
        <v>83300</v>
      </c>
      <c r="Q17" s="46" t="n">
        <v>83300</v>
      </c>
      <c r="R17" s="45" t="s">
        <v>52</v>
      </c>
      <c r="S17" s="45" t="s">
        <v>53</v>
      </c>
      <c r="T17" s="45" t="s">
        <v>180</v>
      </c>
      <c r="U17" s="73" t="n">
        <v>2041400</v>
      </c>
      <c r="V17" s="73" t="n">
        <f aca="false">N17*500*25</f>
        <v>625000</v>
      </c>
      <c r="W17" s="73" t="n">
        <f aca="false">N17*6500</f>
        <v>325000</v>
      </c>
      <c r="X17" s="73" t="n">
        <v>1641400</v>
      </c>
      <c r="Y17" s="73" t="n">
        <f aca="false">N17*3000</f>
        <v>150000</v>
      </c>
      <c r="Z17" s="73" t="n">
        <f aca="false">N17*5000</f>
        <v>250000</v>
      </c>
      <c r="AA17" s="73" t="n">
        <v>1891400</v>
      </c>
      <c r="AB17" s="74" t="n">
        <v>42807</v>
      </c>
      <c r="AC17" s="47" t="n">
        <v>43830</v>
      </c>
      <c r="AD17" s="45" t="n">
        <v>1</v>
      </c>
      <c r="AE17" s="45"/>
      <c r="AF17" s="45"/>
      <c r="AG17" s="73" t="n">
        <v>2041400</v>
      </c>
      <c r="AH17" s="73" t="n">
        <v>0</v>
      </c>
      <c r="AI17" s="45"/>
      <c r="AJ17" s="47" t="n">
        <v>42845</v>
      </c>
      <c r="AK17" s="76" t="n">
        <v>43713</v>
      </c>
      <c r="AL17" s="48" t="n">
        <v>0.9371</v>
      </c>
      <c r="AM17" s="45" t="n">
        <v>15</v>
      </c>
      <c r="AN17" s="45" t="s">
        <v>352</v>
      </c>
      <c r="AO17" s="45"/>
      <c r="AP17" s="45"/>
      <c r="AQ17" s="45" t="s">
        <v>117</v>
      </c>
      <c r="AR17" s="45" t="s">
        <v>117</v>
      </c>
      <c r="AS17" s="45" t="s">
        <v>313</v>
      </c>
      <c r="AT17" s="45" t="n">
        <v>6</v>
      </c>
      <c r="AU17" s="78" t="n">
        <f aca="false">O17*0.05</f>
        <v>2.5</v>
      </c>
      <c r="AV17" s="45"/>
      <c r="AW17" s="45"/>
      <c r="AX17" s="45"/>
      <c r="AY17" s="45"/>
      <c r="AZ17" s="45"/>
      <c r="BA17" s="45"/>
      <c r="BB17" s="45"/>
      <c r="BC17" s="79"/>
    </row>
    <row r="18" customFormat="false" ht="28.35" hidden="false" customHeight="false" outlineLevel="0" collapsed="false">
      <c r="A18" s="45" t="s">
        <v>29</v>
      </c>
      <c r="B18" s="45" t="s">
        <v>4</v>
      </c>
      <c r="C18" s="45" t="s">
        <v>30</v>
      </c>
      <c r="D18" s="45" t="s">
        <v>220</v>
      </c>
      <c r="E18" s="45" t="s">
        <v>221</v>
      </c>
      <c r="F18" s="45"/>
      <c r="G18" s="45" t="s">
        <v>33</v>
      </c>
      <c r="H18" s="45" t="s">
        <v>47</v>
      </c>
      <c r="I18" s="45" t="s">
        <v>222</v>
      </c>
      <c r="J18" s="45" t="s">
        <v>223</v>
      </c>
      <c r="K18" s="45" t="s">
        <v>353</v>
      </c>
      <c r="L18" s="45" t="s">
        <v>354</v>
      </c>
      <c r="M18" s="45" t="n">
        <v>2017</v>
      </c>
      <c r="N18" s="45" t="n">
        <v>50</v>
      </c>
      <c r="O18" s="45" t="n">
        <v>50</v>
      </c>
      <c r="P18" s="46" t="n">
        <v>83300</v>
      </c>
      <c r="Q18" s="46" t="n">
        <v>83300</v>
      </c>
      <c r="R18" s="45" t="s">
        <v>52</v>
      </c>
      <c r="S18" s="45" t="s">
        <v>53</v>
      </c>
      <c r="T18" s="45" t="s">
        <v>224</v>
      </c>
      <c r="U18" s="73" t="n">
        <v>2041400</v>
      </c>
      <c r="V18" s="73" t="n">
        <f aca="false">N18*500*25</f>
        <v>625000</v>
      </c>
      <c r="W18" s="73" t="n">
        <f aca="false">N18*6500</f>
        <v>325000</v>
      </c>
      <c r="X18" s="73" t="n">
        <v>1641400</v>
      </c>
      <c r="Y18" s="73" t="n">
        <f aca="false">N18*3000</f>
        <v>150000</v>
      </c>
      <c r="Z18" s="73" t="n">
        <f aca="false">N18*5000</f>
        <v>250000</v>
      </c>
      <c r="AA18" s="73" t="n">
        <v>2041400</v>
      </c>
      <c r="AB18" s="74" t="n">
        <v>42804</v>
      </c>
      <c r="AC18" s="47" t="n">
        <v>43830</v>
      </c>
      <c r="AD18" s="45" t="n">
        <v>1</v>
      </c>
      <c r="AE18" s="45"/>
      <c r="AF18" s="45" t="s">
        <v>355</v>
      </c>
      <c r="AG18" s="45" t="n">
        <v>0</v>
      </c>
      <c r="AH18" s="73" t="n">
        <v>2041400</v>
      </c>
      <c r="AI18" s="45"/>
      <c r="AJ18" s="47" t="n">
        <v>42822</v>
      </c>
      <c r="AK18" s="76" t="n">
        <v>43728</v>
      </c>
      <c r="AL18" s="48" t="n">
        <v>0.864</v>
      </c>
      <c r="AM18" s="45"/>
      <c r="AN18" s="45"/>
      <c r="AO18" s="45"/>
      <c r="AP18" s="45"/>
      <c r="AQ18" s="45" t="s">
        <v>325</v>
      </c>
      <c r="AR18" s="45" t="s">
        <v>356</v>
      </c>
      <c r="AS18" s="45" t="s">
        <v>313</v>
      </c>
      <c r="AT18" s="45" t="n">
        <v>6</v>
      </c>
      <c r="AU18" s="78" t="n">
        <f aca="false">O18*0.05</f>
        <v>2.5</v>
      </c>
      <c r="AV18" s="45"/>
      <c r="AW18" s="45"/>
      <c r="AX18" s="45"/>
      <c r="AY18" s="45"/>
      <c r="AZ18" s="45"/>
      <c r="BA18" s="45"/>
      <c r="BB18" s="45"/>
      <c r="BC18" s="79"/>
    </row>
    <row r="19" customFormat="false" ht="297" hidden="false" customHeight="false" outlineLevel="0" collapsed="false">
      <c r="A19" s="45" t="s">
        <v>29</v>
      </c>
      <c r="B19" s="45" t="s">
        <v>4</v>
      </c>
      <c r="C19" s="45" t="s">
        <v>30</v>
      </c>
      <c r="D19" s="45" t="s">
        <v>31</v>
      </c>
      <c r="E19" s="45" t="s">
        <v>32</v>
      </c>
      <c r="F19" s="45"/>
      <c r="G19" s="45" t="s">
        <v>33</v>
      </c>
      <c r="H19" s="45" t="s">
        <v>34</v>
      </c>
      <c r="I19" s="45" t="s">
        <v>225</v>
      </c>
      <c r="J19" s="45" t="s">
        <v>181</v>
      </c>
      <c r="K19" s="45" t="s">
        <v>37</v>
      </c>
      <c r="L19" s="45" t="s">
        <v>357</v>
      </c>
      <c r="M19" s="45" t="n">
        <v>2017</v>
      </c>
      <c r="N19" s="45" t="n">
        <v>50</v>
      </c>
      <c r="O19" s="45" t="n">
        <v>50</v>
      </c>
      <c r="P19" s="46" t="n">
        <v>83300</v>
      </c>
      <c r="Q19" s="46" t="n">
        <v>83300</v>
      </c>
      <c r="R19" s="45" t="s">
        <v>52</v>
      </c>
      <c r="S19" s="45" t="s">
        <v>53</v>
      </c>
      <c r="T19" s="45" t="s">
        <v>180</v>
      </c>
      <c r="U19" s="73" t="n">
        <v>2041400</v>
      </c>
      <c r="V19" s="73" t="n">
        <f aca="false">N19*500*25</f>
        <v>625000</v>
      </c>
      <c r="W19" s="73" t="n">
        <f aca="false">N19*6500</f>
        <v>325000</v>
      </c>
      <c r="X19" s="73" t="n">
        <v>1641400</v>
      </c>
      <c r="Y19" s="73" t="n">
        <f aca="false">N19*3000</f>
        <v>150000</v>
      </c>
      <c r="Z19" s="73" t="n">
        <f aca="false">N19*5000</f>
        <v>250000</v>
      </c>
      <c r="AA19" s="73" t="n">
        <v>1891400</v>
      </c>
      <c r="AB19" s="74" t="n">
        <v>42824</v>
      </c>
      <c r="AC19" s="47" t="n">
        <v>43830</v>
      </c>
      <c r="AD19" s="45" t="n">
        <v>1</v>
      </c>
      <c r="AE19" s="45"/>
      <c r="AF19" s="45"/>
      <c r="AG19" s="73" t="n">
        <v>2041400</v>
      </c>
      <c r="AH19" s="73" t="n">
        <v>0</v>
      </c>
      <c r="AI19" s="45"/>
      <c r="AJ19" s="47" t="n">
        <v>42823</v>
      </c>
      <c r="AK19" s="76" t="n">
        <v>43749</v>
      </c>
      <c r="AL19" s="48" t="n">
        <v>0.8668</v>
      </c>
      <c r="AM19" s="45" t="s">
        <v>358</v>
      </c>
      <c r="AN19" s="45" t="s">
        <v>359</v>
      </c>
      <c r="AO19" s="45"/>
      <c r="AP19" s="45"/>
      <c r="AQ19" s="45" t="s">
        <v>117</v>
      </c>
      <c r="AR19" s="45" t="s">
        <v>117</v>
      </c>
      <c r="AS19" s="45" t="s">
        <v>313</v>
      </c>
      <c r="AT19" s="45" t="n">
        <v>6</v>
      </c>
      <c r="AU19" s="78" t="n">
        <f aca="false">O19*0.05</f>
        <v>2.5</v>
      </c>
      <c r="AV19" s="45"/>
      <c r="AW19" s="45"/>
      <c r="AX19" s="45"/>
      <c r="AY19" s="45"/>
      <c r="AZ19" s="45"/>
      <c r="BA19" s="45"/>
      <c r="BB19" s="45"/>
      <c r="BC19" s="79"/>
    </row>
    <row r="20" customFormat="false" ht="55.2" hidden="false" customHeight="false" outlineLevel="0" collapsed="false">
      <c r="A20" s="45" t="s">
        <v>29</v>
      </c>
      <c r="B20" s="45" t="s">
        <v>4</v>
      </c>
      <c r="C20" s="45" t="s">
        <v>30</v>
      </c>
      <c r="D20" s="45" t="s">
        <v>55</v>
      </c>
      <c r="E20" s="45" t="s">
        <v>32</v>
      </c>
      <c r="F20" s="45"/>
      <c r="G20" s="45" t="s">
        <v>33</v>
      </c>
      <c r="H20" s="45" t="s">
        <v>47</v>
      </c>
      <c r="I20" s="45" t="s">
        <v>226</v>
      </c>
      <c r="J20" s="45" t="s">
        <v>147</v>
      </c>
      <c r="K20" s="45" t="s">
        <v>58</v>
      </c>
      <c r="L20" s="45" t="s">
        <v>360</v>
      </c>
      <c r="M20" s="45" t="n">
        <v>2017</v>
      </c>
      <c r="N20" s="45" t="n">
        <v>50</v>
      </c>
      <c r="O20" s="45" t="n">
        <v>50</v>
      </c>
      <c r="P20" s="46" t="n">
        <v>83300</v>
      </c>
      <c r="Q20" s="46" t="n">
        <v>83300</v>
      </c>
      <c r="R20" s="45" t="s">
        <v>52</v>
      </c>
      <c r="S20" s="45" t="s">
        <v>53</v>
      </c>
      <c r="T20" s="45" t="s">
        <v>180</v>
      </c>
      <c r="U20" s="73" t="n">
        <v>2041400</v>
      </c>
      <c r="V20" s="73" t="n">
        <f aca="false">N20*500*25</f>
        <v>625000</v>
      </c>
      <c r="W20" s="73" t="n">
        <f aca="false">N20*6500</f>
        <v>325000</v>
      </c>
      <c r="X20" s="73" t="n">
        <v>1641400</v>
      </c>
      <c r="Y20" s="73" t="n">
        <f aca="false">N20*3000</f>
        <v>150000</v>
      </c>
      <c r="Z20" s="73" t="n">
        <f aca="false">N20*5000</f>
        <v>250000</v>
      </c>
      <c r="AA20" s="73" t="n">
        <v>1891400</v>
      </c>
      <c r="AB20" s="74" t="n">
        <v>42807</v>
      </c>
      <c r="AC20" s="47" t="n">
        <v>43830</v>
      </c>
      <c r="AD20" s="45" t="n">
        <v>1</v>
      </c>
      <c r="AE20" s="45"/>
      <c r="AF20" s="45"/>
      <c r="AG20" s="73" t="n">
        <v>2041400</v>
      </c>
      <c r="AH20" s="73" t="n">
        <v>0</v>
      </c>
      <c r="AI20" s="45"/>
      <c r="AJ20" s="47" t="n">
        <v>42820</v>
      </c>
      <c r="AK20" s="76" t="n">
        <v>43720</v>
      </c>
      <c r="AL20" s="48" t="n">
        <v>0.92</v>
      </c>
      <c r="AM20" s="45"/>
      <c r="AN20" s="45"/>
      <c r="AO20" s="45"/>
      <c r="AP20" s="47" t="n">
        <v>44558</v>
      </c>
      <c r="AQ20" s="45" t="s">
        <v>325</v>
      </c>
      <c r="AR20" s="45" t="s">
        <v>361</v>
      </c>
      <c r="AS20" s="45" t="s">
        <v>313</v>
      </c>
      <c r="AT20" s="45" t="n">
        <v>6</v>
      </c>
      <c r="AU20" s="78" t="n">
        <f aca="false">O20*0.05</f>
        <v>2.5</v>
      </c>
      <c r="AV20" s="45"/>
      <c r="AW20" s="45"/>
      <c r="AX20" s="45"/>
      <c r="AY20" s="45"/>
      <c r="AZ20" s="45"/>
      <c r="BA20" s="45"/>
      <c r="BB20" s="45"/>
      <c r="BC20" s="79"/>
    </row>
    <row r="21" customFormat="false" ht="28.35" hidden="false" customHeight="false" outlineLevel="0" collapsed="false">
      <c r="A21" s="45" t="s">
        <v>29</v>
      </c>
      <c r="B21" s="45" t="s">
        <v>4</v>
      </c>
      <c r="C21" s="45" t="s">
        <v>30</v>
      </c>
      <c r="D21" s="45" t="s">
        <v>55</v>
      </c>
      <c r="E21" s="45" t="s">
        <v>32</v>
      </c>
      <c r="F21" s="45"/>
      <c r="G21" s="45" t="s">
        <v>33</v>
      </c>
      <c r="H21" s="45" t="s">
        <v>47</v>
      </c>
      <c r="I21" s="45" t="s">
        <v>227</v>
      </c>
      <c r="J21" s="45" t="s">
        <v>228</v>
      </c>
      <c r="K21" s="45" t="s">
        <v>362</v>
      </c>
      <c r="L21" s="45" t="s">
        <v>363</v>
      </c>
      <c r="M21" s="45" t="n">
        <v>2017</v>
      </c>
      <c r="N21" s="45" t="n">
        <v>50</v>
      </c>
      <c r="O21" s="45" t="n">
        <v>50</v>
      </c>
      <c r="P21" s="46" t="n">
        <v>83586</v>
      </c>
      <c r="Q21" s="46" t="n">
        <v>83586</v>
      </c>
      <c r="R21" s="45" t="s">
        <v>52</v>
      </c>
      <c r="S21" s="45" t="s">
        <v>53</v>
      </c>
      <c r="T21" s="45" t="s">
        <v>180</v>
      </c>
      <c r="U21" s="73" t="n">
        <v>2041400</v>
      </c>
      <c r="V21" s="73" t="n">
        <f aca="false">N21*500*25</f>
        <v>625000</v>
      </c>
      <c r="W21" s="73" t="n">
        <f aca="false">N21*6500</f>
        <v>325000</v>
      </c>
      <c r="X21" s="73" t="n">
        <v>1641400</v>
      </c>
      <c r="Y21" s="73" t="n">
        <f aca="false">N21*3000</f>
        <v>150000</v>
      </c>
      <c r="Z21" s="73" t="n">
        <f aca="false">N21*5000</f>
        <v>250000</v>
      </c>
      <c r="AA21" s="73" t="n">
        <v>2041400</v>
      </c>
      <c r="AB21" s="74" t="n">
        <v>42822</v>
      </c>
      <c r="AC21" s="47" t="n">
        <v>43830</v>
      </c>
      <c r="AD21" s="45" t="n">
        <v>1</v>
      </c>
      <c r="AE21" s="45"/>
      <c r="AF21" s="45"/>
      <c r="AG21" s="73" t="n">
        <v>2041400</v>
      </c>
      <c r="AH21" s="45" t="n">
        <v>0</v>
      </c>
      <c r="AI21" s="45"/>
      <c r="AJ21" s="47" t="n">
        <v>42820</v>
      </c>
      <c r="AK21" s="76" t="n">
        <v>43712</v>
      </c>
      <c r="AL21" s="48" t="n">
        <v>0.9213</v>
      </c>
      <c r="AM21" s="45"/>
      <c r="AN21" s="45"/>
      <c r="AO21" s="45"/>
      <c r="AP21" s="45"/>
      <c r="AQ21" s="45" t="s">
        <v>311</v>
      </c>
      <c r="AR21" s="45" t="s">
        <v>364</v>
      </c>
      <c r="AS21" s="45" t="s">
        <v>313</v>
      </c>
      <c r="AT21" s="45" t="n">
        <v>6</v>
      </c>
      <c r="AU21" s="78" t="n">
        <f aca="false">O21*0.05</f>
        <v>2.5</v>
      </c>
      <c r="AV21" s="45"/>
      <c r="AW21" s="45"/>
      <c r="AX21" s="45"/>
      <c r="AY21" s="45"/>
      <c r="AZ21" s="45"/>
      <c r="BA21" s="45"/>
      <c r="BB21" s="45"/>
      <c r="BC21" s="79"/>
    </row>
    <row r="22" customFormat="false" ht="28.35" hidden="false" customHeight="false" outlineLevel="0" collapsed="false">
      <c r="A22" s="45" t="s">
        <v>29</v>
      </c>
      <c r="B22" s="45" t="s">
        <v>4</v>
      </c>
      <c r="C22" s="45" t="s">
        <v>30</v>
      </c>
      <c r="D22" s="45" t="s">
        <v>97</v>
      </c>
      <c r="E22" s="45" t="s">
        <v>79</v>
      </c>
      <c r="F22" s="45"/>
      <c r="G22" s="45" t="s">
        <v>80</v>
      </c>
      <c r="H22" s="45" t="s">
        <v>47</v>
      </c>
      <c r="I22" s="45" t="s">
        <v>229</v>
      </c>
      <c r="J22" s="45" t="s">
        <v>144</v>
      </c>
      <c r="K22" s="45" t="s">
        <v>365</v>
      </c>
      <c r="L22" s="45" t="s">
        <v>366</v>
      </c>
      <c r="M22" s="45" t="n">
        <v>2017</v>
      </c>
      <c r="N22" s="45" t="n">
        <v>50</v>
      </c>
      <c r="O22" s="45" t="n">
        <v>50</v>
      </c>
      <c r="P22" s="46" t="n">
        <v>83300</v>
      </c>
      <c r="Q22" s="46" t="n">
        <v>83300</v>
      </c>
      <c r="R22" s="45" t="s">
        <v>52</v>
      </c>
      <c r="S22" s="45" t="s">
        <v>53</v>
      </c>
      <c r="T22" s="45" t="s">
        <v>216</v>
      </c>
      <c r="U22" s="73" t="n">
        <v>2041400</v>
      </c>
      <c r="V22" s="73" t="n">
        <f aca="false">N22*500*25</f>
        <v>625000</v>
      </c>
      <c r="W22" s="73" t="n">
        <f aca="false">N22*6500</f>
        <v>325000</v>
      </c>
      <c r="X22" s="73" t="n">
        <v>1641400</v>
      </c>
      <c r="Y22" s="73" t="n">
        <f aca="false">N22*3000</f>
        <v>150000</v>
      </c>
      <c r="Z22" s="73" t="n">
        <f aca="false">N22*5000</f>
        <v>250000</v>
      </c>
      <c r="AA22" s="73" t="n">
        <v>2041400</v>
      </c>
      <c r="AB22" s="74" t="n">
        <v>42822</v>
      </c>
      <c r="AC22" s="47" t="n">
        <v>43830</v>
      </c>
      <c r="AD22" s="45" t="n">
        <v>1</v>
      </c>
      <c r="AE22" s="45"/>
      <c r="AF22" s="75" t="n">
        <v>44382</v>
      </c>
      <c r="AG22" s="45" t="n">
        <v>0</v>
      </c>
      <c r="AH22" s="73" t="n">
        <v>2041400</v>
      </c>
      <c r="AI22" s="45"/>
      <c r="AJ22" s="47" t="n">
        <v>42825</v>
      </c>
      <c r="AK22" s="76" t="n">
        <v>43740</v>
      </c>
      <c r="AL22" s="48" t="n">
        <v>0.8957</v>
      </c>
      <c r="AM22" s="45"/>
      <c r="AN22" s="45"/>
      <c r="AO22" s="45"/>
      <c r="AP22" s="45"/>
      <c r="AQ22" s="45" t="s">
        <v>117</v>
      </c>
      <c r="AR22" s="45" t="s">
        <v>117</v>
      </c>
      <c r="AS22" s="45" t="s">
        <v>313</v>
      </c>
      <c r="AT22" s="45" t="n">
        <v>6</v>
      </c>
      <c r="AU22" s="78" t="n">
        <f aca="false">O22*0.05</f>
        <v>2.5</v>
      </c>
      <c r="AV22" s="45"/>
      <c r="AW22" s="45"/>
      <c r="AX22" s="45"/>
      <c r="AY22" s="45"/>
      <c r="AZ22" s="45"/>
      <c r="BA22" s="45"/>
      <c r="BB22" s="45"/>
      <c r="BC22" s="79"/>
    </row>
    <row r="23" customFormat="false" ht="323.85" hidden="false" customHeight="false" outlineLevel="0" collapsed="false">
      <c r="A23" s="45" t="s">
        <v>29</v>
      </c>
      <c r="B23" s="45" t="s">
        <v>4</v>
      </c>
      <c r="C23" s="45" t="s">
        <v>30</v>
      </c>
      <c r="D23" s="45" t="s">
        <v>72</v>
      </c>
      <c r="E23" s="45" t="s">
        <v>73</v>
      </c>
      <c r="F23" s="45"/>
      <c r="G23" s="45" t="s">
        <v>33</v>
      </c>
      <c r="H23" s="45" t="s">
        <v>47</v>
      </c>
      <c r="I23" s="45" t="s">
        <v>230</v>
      </c>
      <c r="J23" s="45" t="s">
        <v>75</v>
      </c>
      <c r="K23" s="45" t="s">
        <v>76</v>
      </c>
      <c r="L23" s="45" t="s">
        <v>367</v>
      </c>
      <c r="M23" s="45" t="n">
        <v>2017</v>
      </c>
      <c r="N23" s="45" t="n">
        <v>50</v>
      </c>
      <c r="O23" s="45" t="n">
        <v>50</v>
      </c>
      <c r="P23" s="46" t="n">
        <v>83300</v>
      </c>
      <c r="Q23" s="46" t="n">
        <v>83300</v>
      </c>
      <c r="R23" s="45" t="s">
        <v>39</v>
      </c>
      <c r="S23" s="45" t="s">
        <v>231</v>
      </c>
      <c r="T23" s="45" t="s">
        <v>231</v>
      </c>
      <c r="U23" s="73" t="n">
        <v>2024500</v>
      </c>
      <c r="V23" s="73" t="n">
        <f aca="false">N23*1666*15</f>
        <v>1249500</v>
      </c>
      <c r="W23" s="73" t="n">
        <f aca="false">N23*6500</f>
        <v>325000</v>
      </c>
      <c r="X23" s="73" t="n">
        <v>1624500</v>
      </c>
      <c r="Y23" s="73" t="n">
        <f aca="false">N23*3000</f>
        <v>150000</v>
      </c>
      <c r="Z23" s="73" t="n">
        <f aca="false">N23*5000</f>
        <v>250000</v>
      </c>
      <c r="AA23" s="73" t="n">
        <v>2024500</v>
      </c>
      <c r="AB23" s="74" t="n">
        <v>42835</v>
      </c>
      <c r="AC23" s="47" t="n">
        <v>43830</v>
      </c>
      <c r="AD23" s="45" t="n">
        <v>1</v>
      </c>
      <c r="AE23" s="45"/>
      <c r="AF23" s="75" t="n">
        <v>44382</v>
      </c>
      <c r="AG23" s="45" t="n">
        <v>0</v>
      </c>
      <c r="AH23" s="73" t="n">
        <v>2024500</v>
      </c>
      <c r="AI23" s="45"/>
      <c r="AJ23" s="47" t="n">
        <v>42823</v>
      </c>
      <c r="AK23" s="76" t="n">
        <v>43755</v>
      </c>
      <c r="AL23" s="48" t="n">
        <v>0.8689</v>
      </c>
      <c r="AM23" s="45" t="s">
        <v>368</v>
      </c>
      <c r="AN23" s="45" t="s">
        <v>369</v>
      </c>
      <c r="AO23" s="45"/>
      <c r="AP23" s="47" t="n">
        <v>44558</v>
      </c>
      <c r="AQ23" s="45" t="s">
        <v>325</v>
      </c>
      <c r="AR23" s="45" t="s">
        <v>370</v>
      </c>
      <c r="AS23" s="45" t="s">
        <v>313</v>
      </c>
      <c r="AT23" s="45" t="n">
        <v>6</v>
      </c>
      <c r="AU23" s="78" t="n">
        <f aca="false">O23*0.05</f>
        <v>2.5</v>
      </c>
      <c r="AV23" s="45"/>
      <c r="AW23" s="45"/>
      <c r="AX23" s="45"/>
      <c r="AY23" s="45"/>
      <c r="AZ23" s="45"/>
      <c r="BA23" s="45"/>
      <c r="BB23" s="45"/>
      <c r="BC23" s="79"/>
    </row>
    <row r="24" customFormat="false" ht="28.35" hidden="false" customHeight="false" outlineLevel="0" collapsed="false">
      <c r="A24" s="45" t="s">
        <v>29</v>
      </c>
      <c r="B24" s="45" t="s">
        <v>4</v>
      </c>
      <c r="C24" s="45" t="s">
        <v>30</v>
      </c>
      <c r="D24" s="45" t="s">
        <v>232</v>
      </c>
      <c r="E24" s="45" t="s">
        <v>32</v>
      </c>
      <c r="F24" s="45"/>
      <c r="G24" s="45" t="s">
        <v>33</v>
      </c>
      <c r="H24" s="45" t="s">
        <v>47</v>
      </c>
      <c r="I24" s="45" t="s">
        <v>233</v>
      </c>
      <c r="J24" s="45" t="s">
        <v>234</v>
      </c>
      <c r="K24" s="45" t="s">
        <v>371</v>
      </c>
      <c r="L24" s="45" t="s">
        <v>372</v>
      </c>
      <c r="M24" s="45" t="n">
        <v>2017</v>
      </c>
      <c r="N24" s="45" t="n">
        <v>40</v>
      </c>
      <c r="O24" s="45" t="n">
        <v>40</v>
      </c>
      <c r="P24" s="46" t="n">
        <v>20000</v>
      </c>
      <c r="Q24" s="46" t="n">
        <v>20000</v>
      </c>
      <c r="R24" s="45" t="s">
        <v>39</v>
      </c>
      <c r="S24" s="45" t="s">
        <v>235</v>
      </c>
      <c r="T24" s="45" t="s">
        <v>236</v>
      </c>
      <c r="U24" s="45"/>
      <c r="V24" s="73" t="n">
        <f aca="false">N24*1666*8</f>
        <v>533120</v>
      </c>
      <c r="W24" s="73" t="n">
        <f aca="false">N24*6500</f>
        <v>260000</v>
      </c>
      <c r="X24" s="45"/>
      <c r="Y24" s="73" t="n">
        <f aca="false">N24*3000</f>
        <v>120000</v>
      </c>
      <c r="Z24" s="73" t="n">
        <f aca="false">N24*5000</f>
        <v>200000</v>
      </c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 t="s">
        <v>373</v>
      </c>
      <c r="AT24" s="45" t="n">
        <v>5</v>
      </c>
      <c r="AU24" s="78" t="n">
        <f aca="false">O24*0.05</f>
        <v>2</v>
      </c>
      <c r="AV24" s="45"/>
      <c r="AW24" s="45"/>
      <c r="AX24" s="45"/>
      <c r="AY24" s="45"/>
      <c r="AZ24" s="45"/>
      <c r="BA24" s="45"/>
      <c r="BB24" s="45"/>
      <c r="BC24" s="79"/>
    </row>
    <row r="25" customFormat="false" ht="28.35" hidden="false" customHeight="false" outlineLevel="0" collapsed="false">
      <c r="A25" s="45" t="s">
        <v>29</v>
      </c>
      <c r="B25" s="45" t="s">
        <v>4</v>
      </c>
      <c r="C25" s="45" t="s">
        <v>30</v>
      </c>
      <c r="D25" s="45" t="s">
        <v>151</v>
      </c>
      <c r="E25" s="45" t="s">
        <v>32</v>
      </c>
      <c r="F25" s="45"/>
      <c r="G25" s="45" t="s">
        <v>33</v>
      </c>
      <c r="H25" s="45" t="s">
        <v>34</v>
      </c>
      <c r="I25" s="45" t="s">
        <v>237</v>
      </c>
      <c r="J25" s="45" t="s">
        <v>153</v>
      </c>
      <c r="K25" s="45" t="s">
        <v>318</v>
      </c>
      <c r="L25" s="45" t="s">
        <v>374</v>
      </c>
      <c r="M25" s="45" t="n">
        <v>2018</v>
      </c>
      <c r="N25" s="45" t="n">
        <v>60</v>
      </c>
      <c r="O25" s="45" t="n">
        <v>60</v>
      </c>
      <c r="P25" s="46" t="n">
        <v>70500</v>
      </c>
      <c r="Q25" s="46" t="n">
        <v>70500</v>
      </c>
      <c r="R25" s="45" t="s">
        <v>39</v>
      </c>
      <c r="S25" s="45" t="s">
        <v>40</v>
      </c>
      <c r="T25" s="45" t="s">
        <v>154</v>
      </c>
      <c r="U25" s="73" t="n">
        <v>1614000</v>
      </c>
      <c r="V25" s="73" t="n">
        <f aca="false">N25*1175*8</f>
        <v>564000</v>
      </c>
      <c r="W25" s="73" t="n">
        <f aca="false">N25*6500</f>
        <v>390000</v>
      </c>
      <c r="X25" s="73" t="n">
        <v>1014000</v>
      </c>
      <c r="Y25" s="73" t="n">
        <f aca="false">N25*5000</f>
        <v>300000</v>
      </c>
      <c r="Z25" s="73" t="n">
        <f aca="false">N25*5000</f>
        <v>300000</v>
      </c>
      <c r="AA25" s="73" t="n">
        <v>1614000</v>
      </c>
      <c r="AB25" s="74" t="n">
        <v>43159</v>
      </c>
      <c r="AC25" s="47" t="n">
        <v>44196</v>
      </c>
      <c r="AD25" s="45" t="n">
        <v>1</v>
      </c>
      <c r="AE25" s="45"/>
      <c r="AF25" s="45"/>
      <c r="AG25" s="73" t="n">
        <v>1614000</v>
      </c>
      <c r="AH25" s="45" t="n">
        <v>0</v>
      </c>
      <c r="AI25" s="45" t="s">
        <v>375</v>
      </c>
      <c r="AJ25" s="47" t="n">
        <v>43154</v>
      </c>
      <c r="AK25" s="47" t="n">
        <v>44153</v>
      </c>
      <c r="AL25" s="48" t="n">
        <v>0.93</v>
      </c>
      <c r="AM25" s="45"/>
      <c r="AN25" s="45"/>
      <c r="AO25" s="45"/>
      <c r="AP25" s="45"/>
      <c r="AQ25" s="45" t="s">
        <v>117</v>
      </c>
      <c r="AR25" s="45" t="s">
        <v>117</v>
      </c>
      <c r="AS25" s="45" t="s">
        <v>313</v>
      </c>
      <c r="AT25" s="45" t="n">
        <v>7</v>
      </c>
      <c r="AU25" s="78" t="n">
        <f aca="false">O25*0.05</f>
        <v>3</v>
      </c>
      <c r="AV25" s="45"/>
      <c r="AW25" s="45"/>
      <c r="AX25" s="45"/>
      <c r="AY25" s="45"/>
      <c r="AZ25" s="45"/>
      <c r="BA25" s="45"/>
      <c r="BB25" s="45"/>
      <c r="BC25" s="79"/>
    </row>
    <row r="26" customFormat="false" ht="95.5" hidden="false" customHeight="false" outlineLevel="0" collapsed="false">
      <c r="A26" s="45" t="s">
        <v>29</v>
      </c>
      <c r="B26" s="45" t="s">
        <v>4</v>
      </c>
      <c r="C26" s="45" t="s">
        <v>30</v>
      </c>
      <c r="D26" s="45" t="s">
        <v>238</v>
      </c>
      <c r="E26" s="45" t="s">
        <v>67</v>
      </c>
      <c r="F26" s="45"/>
      <c r="G26" s="45" t="s">
        <v>33</v>
      </c>
      <c r="H26" s="45" t="s">
        <v>34</v>
      </c>
      <c r="I26" s="45" t="s">
        <v>239</v>
      </c>
      <c r="J26" s="45" t="s">
        <v>240</v>
      </c>
      <c r="K26" s="45" t="s">
        <v>376</v>
      </c>
      <c r="L26" s="45" t="s">
        <v>377</v>
      </c>
      <c r="M26" s="45" t="n">
        <v>2018</v>
      </c>
      <c r="N26" s="45" t="n">
        <v>60</v>
      </c>
      <c r="O26" s="45" t="n">
        <v>60</v>
      </c>
      <c r="P26" s="46" t="n">
        <v>70500</v>
      </c>
      <c r="Q26" s="46" t="n">
        <v>70500</v>
      </c>
      <c r="R26" s="45" t="s">
        <v>39</v>
      </c>
      <c r="S26" s="45" t="s">
        <v>40</v>
      </c>
      <c r="T26" s="45" t="s">
        <v>154</v>
      </c>
      <c r="U26" s="73" t="n">
        <v>1614000</v>
      </c>
      <c r="V26" s="73" t="n">
        <f aca="false">N26*1175*8</f>
        <v>564000</v>
      </c>
      <c r="W26" s="73" t="n">
        <f aca="false">N26*6500</f>
        <v>390000</v>
      </c>
      <c r="X26" s="73" t="n">
        <v>1014000</v>
      </c>
      <c r="Y26" s="73" t="n">
        <f aca="false">N26*5000</f>
        <v>300000</v>
      </c>
      <c r="Z26" s="73" t="n">
        <f aca="false">N26*5000</f>
        <v>300000</v>
      </c>
      <c r="AA26" s="73" t="n">
        <v>1614000</v>
      </c>
      <c r="AB26" s="74" t="n">
        <v>43154</v>
      </c>
      <c r="AC26" s="47" t="n">
        <v>44196</v>
      </c>
      <c r="AD26" s="45" t="n">
        <v>1</v>
      </c>
      <c r="AE26" s="45"/>
      <c r="AF26" s="45"/>
      <c r="AG26" s="73" t="n">
        <v>1614000</v>
      </c>
      <c r="AH26" s="45" t="n">
        <v>0</v>
      </c>
      <c r="AI26" s="45" t="s">
        <v>375</v>
      </c>
      <c r="AJ26" s="45" t="s">
        <v>375</v>
      </c>
      <c r="AK26" s="47" t="n">
        <v>44159</v>
      </c>
      <c r="AL26" s="48" t="n">
        <v>0.87</v>
      </c>
      <c r="AM26" s="45" t="n">
        <v>30</v>
      </c>
      <c r="AN26" s="45" t="s">
        <v>378</v>
      </c>
      <c r="AO26" s="45"/>
      <c r="AP26" s="45"/>
      <c r="AQ26" s="45" t="s">
        <v>117</v>
      </c>
      <c r="AR26" s="45" t="s">
        <v>117</v>
      </c>
      <c r="AS26" s="45" t="s">
        <v>313</v>
      </c>
      <c r="AT26" s="45" t="n">
        <v>7</v>
      </c>
      <c r="AU26" s="78" t="n">
        <f aca="false">O26*0.05</f>
        <v>3</v>
      </c>
      <c r="AV26" s="45"/>
      <c r="AW26" s="45"/>
      <c r="AX26" s="45"/>
      <c r="AY26" s="45"/>
      <c r="AZ26" s="45"/>
      <c r="BA26" s="45"/>
      <c r="BB26" s="45"/>
      <c r="BC26" s="79"/>
    </row>
    <row r="27" customFormat="false" ht="28.35" hidden="false" customHeight="false" outlineLevel="0" collapsed="false">
      <c r="A27" s="45" t="s">
        <v>29</v>
      </c>
      <c r="B27" s="45" t="s">
        <v>4</v>
      </c>
      <c r="C27" s="45" t="s">
        <v>30</v>
      </c>
      <c r="D27" s="45" t="s">
        <v>97</v>
      </c>
      <c r="E27" s="45" t="s">
        <v>79</v>
      </c>
      <c r="F27" s="45"/>
      <c r="G27" s="45" t="s">
        <v>33</v>
      </c>
      <c r="H27" s="45" t="s">
        <v>47</v>
      </c>
      <c r="I27" s="45" t="s">
        <v>241</v>
      </c>
      <c r="J27" s="45" t="s">
        <v>144</v>
      </c>
      <c r="K27" s="45" t="s">
        <v>379</v>
      </c>
      <c r="L27" s="45" t="s">
        <v>380</v>
      </c>
      <c r="M27" s="45" t="n">
        <v>2018</v>
      </c>
      <c r="N27" s="45" t="n">
        <v>60</v>
      </c>
      <c r="O27" s="45" t="n">
        <v>60</v>
      </c>
      <c r="P27" s="46" t="n">
        <v>70500</v>
      </c>
      <c r="Q27" s="46" t="n">
        <v>70500</v>
      </c>
      <c r="R27" s="45" t="s">
        <v>39</v>
      </c>
      <c r="S27" s="45" t="s">
        <v>40</v>
      </c>
      <c r="T27" s="45" t="s">
        <v>242</v>
      </c>
      <c r="U27" s="73" t="n">
        <v>1614000</v>
      </c>
      <c r="V27" s="73" t="n">
        <f aca="false">N27*1175*8</f>
        <v>564000</v>
      </c>
      <c r="W27" s="73" t="n">
        <f aca="false">N27*6500</f>
        <v>390000</v>
      </c>
      <c r="X27" s="73" t="n">
        <v>1014000</v>
      </c>
      <c r="Y27" s="73" t="n">
        <f aca="false">N27*5000</f>
        <v>300000</v>
      </c>
      <c r="Z27" s="73" t="n">
        <f aca="false">N27*5000</f>
        <v>300000</v>
      </c>
      <c r="AA27" s="73" t="n">
        <v>1614000</v>
      </c>
      <c r="AB27" s="74" t="n">
        <v>43154</v>
      </c>
      <c r="AC27" s="47" t="n">
        <v>44196</v>
      </c>
      <c r="AD27" s="45" t="n">
        <v>1</v>
      </c>
      <c r="AE27" s="45"/>
      <c r="AF27" s="45"/>
      <c r="AG27" s="73" t="n">
        <v>1614000</v>
      </c>
      <c r="AH27" s="45" t="n">
        <v>0</v>
      </c>
      <c r="AI27" s="45" t="s">
        <v>375</v>
      </c>
      <c r="AJ27" s="47" t="n">
        <v>43298</v>
      </c>
      <c r="AK27" s="47" t="n">
        <v>44152</v>
      </c>
      <c r="AL27" s="48" t="n">
        <v>0.9025</v>
      </c>
      <c r="AM27" s="45"/>
      <c r="AN27" s="45"/>
      <c r="AO27" s="45"/>
      <c r="AP27" s="45"/>
      <c r="AQ27" s="45" t="s">
        <v>117</v>
      </c>
      <c r="AR27" s="45" t="s">
        <v>117</v>
      </c>
      <c r="AS27" s="45" t="s">
        <v>313</v>
      </c>
      <c r="AT27" s="45" t="n">
        <v>7</v>
      </c>
      <c r="AU27" s="78" t="n">
        <f aca="false">O27*0.05</f>
        <v>3</v>
      </c>
      <c r="AV27" s="45"/>
      <c r="AW27" s="45"/>
      <c r="AX27" s="45"/>
      <c r="AY27" s="45"/>
      <c r="AZ27" s="45"/>
      <c r="BA27" s="45"/>
      <c r="BB27" s="45"/>
      <c r="BC27" s="79"/>
    </row>
    <row r="28" customFormat="false" ht="28.35" hidden="false" customHeight="false" outlineLevel="0" collapsed="false">
      <c r="A28" s="45" t="s">
        <v>29</v>
      </c>
      <c r="B28" s="45" t="s">
        <v>4</v>
      </c>
      <c r="C28" s="45" t="s">
        <v>30</v>
      </c>
      <c r="D28" s="45" t="s">
        <v>61</v>
      </c>
      <c r="E28" s="45" t="s">
        <v>32</v>
      </c>
      <c r="F28" s="45"/>
      <c r="G28" s="45" t="s">
        <v>33</v>
      </c>
      <c r="H28" s="45" t="s">
        <v>47</v>
      </c>
      <c r="I28" s="45" t="s">
        <v>243</v>
      </c>
      <c r="J28" s="45" t="s">
        <v>182</v>
      </c>
      <c r="K28" s="45" t="s">
        <v>64</v>
      </c>
      <c r="L28" s="45" t="s">
        <v>381</v>
      </c>
      <c r="M28" s="45" t="n">
        <v>2018</v>
      </c>
      <c r="N28" s="45" t="n">
        <v>50</v>
      </c>
      <c r="O28" s="45" t="n">
        <v>50</v>
      </c>
      <c r="P28" s="46" t="n">
        <v>50000</v>
      </c>
      <c r="Q28" s="46" t="n">
        <v>50000</v>
      </c>
      <c r="R28" s="45" t="s">
        <v>52</v>
      </c>
      <c r="S28" s="45" t="s">
        <v>53</v>
      </c>
      <c r="T28" s="45" t="s">
        <v>244</v>
      </c>
      <c r="U28" s="73" t="n">
        <v>1820050</v>
      </c>
      <c r="V28" s="73" t="n">
        <v>825000</v>
      </c>
      <c r="W28" s="73" t="n">
        <f aca="false">N28*8901</f>
        <v>445050</v>
      </c>
      <c r="X28" s="73" t="n">
        <v>1320050</v>
      </c>
      <c r="Y28" s="73" t="n">
        <f aca="false">N28*5000</f>
        <v>250000</v>
      </c>
      <c r="Z28" s="73" t="n">
        <f aca="false">N28*5000</f>
        <v>250000</v>
      </c>
      <c r="AA28" s="73" t="n">
        <v>1820050</v>
      </c>
      <c r="AB28" s="74" t="n">
        <v>43154</v>
      </c>
      <c r="AC28" s="47" t="n">
        <v>44196</v>
      </c>
      <c r="AD28" s="45" t="n">
        <v>1</v>
      </c>
      <c r="AE28" s="45"/>
      <c r="AF28" s="45"/>
      <c r="AG28" s="73" t="n">
        <v>1820050</v>
      </c>
      <c r="AH28" s="45" t="n">
        <v>0</v>
      </c>
      <c r="AI28" s="45" t="s">
        <v>375</v>
      </c>
      <c r="AJ28" s="47" t="n">
        <v>43154</v>
      </c>
      <c r="AK28" s="47" t="n">
        <v>44134</v>
      </c>
      <c r="AL28" s="48" t="n">
        <v>0.8716</v>
      </c>
      <c r="AM28" s="45"/>
      <c r="AN28" s="45"/>
      <c r="AO28" s="45"/>
      <c r="AP28" s="45"/>
      <c r="AQ28" s="45" t="s">
        <v>117</v>
      </c>
      <c r="AR28" s="45" t="s">
        <v>117</v>
      </c>
      <c r="AS28" s="45" t="s">
        <v>313</v>
      </c>
      <c r="AT28" s="45" t="n">
        <v>6</v>
      </c>
      <c r="AU28" s="78" t="n">
        <f aca="false">O28*0.05</f>
        <v>2.5</v>
      </c>
      <c r="AV28" s="45"/>
      <c r="AW28" s="45"/>
      <c r="AX28" s="45"/>
      <c r="AY28" s="45"/>
      <c r="AZ28" s="45"/>
      <c r="BA28" s="45"/>
      <c r="BB28" s="45"/>
      <c r="BC28" s="79"/>
    </row>
    <row r="29" customFormat="false" ht="28.35" hidden="false" customHeight="false" outlineLevel="0" collapsed="false">
      <c r="A29" s="45" t="s">
        <v>29</v>
      </c>
      <c r="B29" s="45" t="s">
        <v>4</v>
      </c>
      <c r="C29" s="45" t="s">
        <v>30</v>
      </c>
      <c r="D29" s="45" t="s">
        <v>151</v>
      </c>
      <c r="E29" s="45" t="s">
        <v>32</v>
      </c>
      <c r="F29" s="45"/>
      <c r="G29" s="45" t="s">
        <v>33</v>
      </c>
      <c r="H29" s="45" t="s">
        <v>34</v>
      </c>
      <c r="I29" s="45" t="s">
        <v>245</v>
      </c>
      <c r="J29" s="45" t="s">
        <v>171</v>
      </c>
      <c r="K29" s="45" t="s">
        <v>320</v>
      </c>
      <c r="L29" s="45" t="s">
        <v>382</v>
      </c>
      <c r="M29" s="45" t="n">
        <v>2018</v>
      </c>
      <c r="N29" s="45" t="n">
        <v>50</v>
      </c>
      <c r="O29" s="45" t="n">
        <v>50</v>
      </c>
      <c r="P29" s="46" t="n">
        <v>50000</v>
      </c>
      <c r="Q29" s="46" t="n">
        <v>50000</v>
      </c>
      <c r="R29" s="45" t="s">
        <v>52</v>
      </c>
      <c r="S29" s="45" t="s">
        <v>246</v>
      </c>
      <c r="T29" s="45" t="s">
        <v>247</v>
      </c>
      <c r="U29" s="73" t="n">
        <v>1820050</v>
      </c>
      <c r="V29" s="73" t="n">
        <v>825000</v>
      </c>
      <c r="W29" s="73" t="n">
        <f aca="false">N29*8901</f>
        <v>445050</v>
      </c>
      <c r="X29" s="73" t="n">
        <v>1320050</v>
      </c>
      <c r="Y29" s="73" t="n">
        <f aca="false">N29*5000</f>
        <v>250000</v>
      </c>
      <c r="Z29" s="73" t="n">
        <f aca="false">N29*5000</f>
        <v>250000</v>
      </c>
      <c r="AA29" s="73" t="n">
        <v>1820050</v>
      </c>
      <c r="AB29" s="74" t="n">
        <v>43154</v>
      </c>
      <c r="AC29" s="47" t="n">
        <v>44196</v>
      </c>
      <c r="AD29" s="45" t="n">
        <v>1</v>
      </c>
      <c r="AE29" s="45"/>
      <c r="AF29" s="45"/>
      <c r="AG29" s="73" t="n">
        <v>1820050</v>
      </c>
      <c r="AH29" s="45" t="n">
        <v>0</v>
      </c>
      <c r="AI29" s="45" t="s">
        <v>375</v>
      </c>
      <c r="AJ29" s="45" t="s">
        <v>375</v>
      </c>
      <c r="AK29" s="47" t="n">
        <v>44133</v>
      </c>
      <c r="AL29" s="48" t="n">
        <v>0.8698</v>
      </c>
      <c r="AM29" s="45"/>
      <c r="AN29" s="45"/>
      <c r="AO29" s="45"/>
      <c r="AP29" s="45"/>
      <c r="AQ29" s="45" t="s">
        <v>117</v>
      </c>
      <c r="AR29" s="45" t="s">
        <v>117</v>
      </c>
      <c r="AS29" s="45" t="s">
        <v>313</v>
      </c>
      <c r="AT29" s="45" t="n">
        <v>6</v>
      </c>
      <c r="AU29" s="78" t="n">
        <f aca="false">O29*0.05</f>
        <v>2.5</v>
      </c>
      <c r="AV29" s="45"/>
      <c r="AW29" s="45"/>
      <c r="AX29" s="45"/>
      <c r="AY29" s="45"/>
      <c r="AZ29" s="45"/>
      <c r="BA29" s="45"/>
      <c r="BB29" s="45"/>
      <c r="BC29" s="79"/>
    </row>
    <row r="30" customFormat="false" ht="28.35" hidden="false" customHeight="false" outlineLevel="0" collapsed="false">
      <c r="A30" s="45" t="s">
        <v>29</v>
      </c>
      <c r="B30" s="45" t="s">
        <v>4</v>
      </c>
      <c r="C30" s="45" t="s">
        <v>30</v>
      </c>
      <c r="D30" s="45" t="s">
        <v>151</v>
      </c>
      <c r="E30" s="45" t="s">
        <v>32</v>
      </c>
      <c r="F30" s="45"/>
      <c r="G30" s="45" t="s">
        <v>33</v>
      </c>
      <c r="H30" s="45" t="s">
        <v>47</v>
      </c>
      <c r="I30" s="45" t="s">
        <v>248</v>
      </c>
      <c r="J30" s="45" t="s">
        <v>163</v>
      </c>
      <c r="K30" s="45" t="s">
        <v>383</v>
      </c>
      <c r="L30" s="45" t="s">
        <v>384</v>
      </c>
      <c r="M30" s="45" t="n">
        <v>2018</v>
      </c>
      <c r="N30" s="45" t="n">
        <v>50</v>
      </c>
      <c r="O30" s="45" t="n">
        <v>50</v>
      </c>
      <c r="P30" s="46" t="n">
        <v>50000</v>
      </c>
      <c r="Q30" s="46" t="n">
        <v>50000</v>
      </c>
      <c r="R30" s="45" t="s">
        <v>52</v>
      </c>
      <c r="S30" s="45" t="s">
        <v>53</v>
      </c>
      <c r="T30" s="45" t="s">
        <v>249</v>
      </c>
      <c r="U30" s="73" t="n">
        <v>1820050</v>
      </c>
      <c r="V30" s="73" t="n">
        <v>825000</v>
      </c>
      <c r="W30" s="73" t="n">
        <f aca="false">N30*8901</f>
        <v>445050</v>
      </c>
      <c r="X30" s="73" t="n">
        <v>1320050</v>
      </c>
      <c r="Y30" s="73" t="n">
        <f aca="false">N30*5000</f>
        <v>250000</v>
      </c>
      <c r="Z30" s="73" t="n">
        <f aca="false">N30*5000</f>
        <v>250000</v>
      </c>
      <c r="AA30" s="73" t="n">
        <v>1820050</v>
      </c>
      <c r="AB30" s="74" t="n">
        <v>43154</v>
      </c>
      <c r="AC30" s="47" t="n">
        <v>44196</v>
      </c>
      <c r="AD30" s="45" t="n">
        <v>1</v>
      </c>
      <c r="AE30" s="45"/>
      <c r="AF30" s="45"/>
      <c r="AG30" s="73" t="n">
        <v>1820050</v>
      </c>
      <c r="AH30" s="45" t="n">
        <v>0</v>
      </c>
      <c r="AI30" s="45" t="s">
        <v>375</v>
      </c>
      <c r="AJ30" s="47" t="n">
        <v>43154</v>
      </c>
      <c r="AK30" s="47" t="n">
        <v>44145</v>
      </c>
      <c r="AL30" s="48" t="n">
        <v>0.8805</v>
      </c>
      <c r="AM30" s="45"/>
      <c r="AN30" s="45"/>
      <c r="AO30" s="45"/>
      <c r="AP30" s="45"/>
      <c r="AQ30" s="45" t="s">
        <v>117</v>
      </c>
      <c r="AR30" s="45" t="s">
        <v>117</v>
      </c>
      <c r="AS30" s="45" t="s">
        <v>313</v>
      </c>
      <c r="AT30" s="45" t="n">
        <v>6</v>
      </c>
      <c r="AU30" s="78" t="n">
        <f aca="false">O30*0.05</f>
        <v>2.5</v>
      </c>
      <c r="AV30" s="45"/>
      <c r="AW30" s="45"/>
      <c r="AX30" s="45"/>
      <c r="AY30" s="45"/>
      <c r="AZ30" s="45"/>
      <c r="BA30" s="45"/>
      <c r="BB30" s="45"/>
      <c r="BC30" s="79"/>
    </row>
    <row r="31" customFormat="false" ht="28.35" hidden="false" customHeight="false" outlineLevel="0" collapsed="false">
      <c r="A31" s="45" t="s">
        <v>29</v>
      </c>
      <c r="B31" s="45" t="s">
        <v>4</v>
      </c>
      <c r="C31" s="45" t="s">
        <v>30</v>
      </c>
      <c r="D31" s="45" t="s">
        <v>55</v>
      </c>
      <c r="E31" s="45" t="s">
        <v>32</v>
      </c>
      <c r="F31" s="45"/>
      <c r="G31" s="45" t="s">
        <v>33</v>
      </c>
      <c r="H31" s="45" t="s">
        <v>34</v>
      </c>
      <c r="I31" s="45" t="s">
        <v>250</v>
      </c>
      <c r="J31" s="45" t="s">
        <v>202</v>
      </c>
      <c r="K31" s="45" t="s">
        <v>337</v>
      </c>
      <c r="L31" s="45" t="s">
        <v>385</v>
      </c>
      <c r="M31" s="45" t="n">
        <v>2018</v>
      </c>
      <c r="N31" s="45" t="n">
        <v>60</v>
      </c>
      <c r="O31" s="45" t="n">
        <v>60</v>
      </c>
      <c r="P31" s="46" t="n">
        <v>70500</v>
      </c>
      <c r="Q31" s="46" t="n">
        <v>70500</v>
      </c>
      <c r="R31" s="45" t="s">
        <v>39</v>
      </c>
      <c r="S31" s="45" t="s">
        <v>40</v>
      </c>
      <c r="T31" s="45" t="s">
        <v>251</v>
      </c>
      <c r="U31" s="73" t="n">
        <v>1614000</v>
      </c>
      <c r="V31" s="73" t="n">
        <f aca="false">N31*1175*8</f>
        <v>564000</v>
      </c>
      <c r="W31" s="73" t="n">
        <f aca="false">N31*6500</f>
        <v>390000</v>
      </c>
      <c r="X31" s="73" t="n">
        <v>1014000</v>
      </c>
      <c r="Y31" s="73" t="n">
        <f aca="false">N31*5000</f>
        <v>300000</v>
      </c>
      <c r="Z31" s="73" t="n">
        <f aca="false">N31*5000</f>
        <v>300000</v>
      </c>
      <c r="AA31" s="73" t="n">
        <v>1614000</v>
      </c>
      <c r="AB31" s="74" t="n">
        <v>43154</v>
      </c>
      <c r="AC31" s="47" t="n">
        <v>44196</v>
      </c>
      <c r="AD31" s="45" t="n">
        <v>1</v>
      </c>
      <c r="AE31" s="45"/>
      <c r="AF31" s="45"/>
      <c r="AG31" s="73" t="n">
        <v>1614000</v>
      </c>
      <c r="AH31" s="45" t="n">
        <v>0</v>
      </c>
      <c r="AI31" s="45" t="s">
        <v>375</v>
      </c>
      <c r="AJ31" s="47" t="n">
        <v>43154</v>
      </c>
      <c r="AK31" s="47" t="n">
        <v>44141</v>
      </c>
      <c r="AL31" s="48" t="n">
        <v>0.8761</v>
      </c>
      <c r="AM31" s="45"/>
      <c r="AN31" s="45"/>
      <c r="AO31" s="45"/>
      <c r="AP31" s="45"/>
      <c r="AQ31" s="45" t="s">
        <v>117</v>
      </c>
      <c r="AR31" s="45" t="s">
        <v>117</v>
      </c>
      <c r="AS31" s="45" t="s">
        <v>313</v>
      </c>
      <c r="AT31" s="45" t="n">
        <v>7</v>
      </c>
      <c r="AU31" s="78" t="n">
        <f aca="false">O31*0.05</f>
        <v>3</v>
      </c>
      <c r="AV31" s="45"/>
      <c r="AW31" s="45"/>
      <c r="AX31" s="45"/>
      <c r="AY31" s="45"/>
      <c r="AZ31" s="45"/>
      <c r="BA31" s="45"/>
      <c r="BB31" s="45"/>
      <c r="BC31" s="79"/>
    </row>
    <row r="32" customFormat="false" ht="176.1" hidden="false" customHeight="false" outlineLevel="0" collapsed="false">
      <c r="A32" s="45" t="s">
        <v>29</v>
      </c>
      <c r="B32" s="45" t="s">
        <v>4</v>
      </c>
      <c r="C32" s="45" t="s">
        <v>30</v>
      </c>
      <c r="D32" s="45" t="s">
        <v>55</v>
      </c>
      <c r="E32" s="45" t="s">
        <v>32</v>
      </c>
      <c r="F32" s="45"/>
      <c r="G32" s="45" t="s">
        <v>33</v>
      </c>
      <c r="H32" s="45" t="s">
        <v>34</v>
      </c>
      <c r="I32" s="45" t="s">
        <v>252</v>
      </c>
      <c r="J32" s="45" t="s">
        <v>147</v>
      </c>
      <c r="K32" s="45" t="s">
        <v>58</v>
      </c>
      <c r="L32" s="45" t="s">
        <v>386</v>
      </c>
      <c r="M32" s="45" t="n">
        <v>2018</v>
      </c>
      <c r="N32" s="45" t="n">
        <v>60</v>
      </c>
      <c r="O32" s="45" t="n">
        <v>60</v>
      </c>
      <c r="P32" s="46" t="n">
        <v>70500</v>
      </c>
      <c r="Q32" s="46" t="n">
        <v>70500</v>
      </c>
      <c r="R32" s="45" t="s">
        <v>39</v>
      </c>
      <c r="S32" s="45" t="s">
        <v>40</v>
      </c>
      <c r="T32" s="45" t="s">
        <v>253</v>
      </c>
      <c r="U32" s="73" t="n">
        <v>1614000</v>
      </c>
      <c r="V32" s="73" t="n">
        <f aca="false">N32*1175*8</f>
        <v>564000</v>
      </c>
      <c r="W32" s="73" t="n">
        <f aca="false">N32*6500</f>
        <v>390000</v>
      </c>
      <c r="X32" s="73" t="n">
        <v>1014000</v>
      </c>
      <c r="Y32" s="73" t="n">
        <f aca="false">N32*5000</f>
        <v>300000</v>
      </c>
      <c r="Z32" s="73" t="n">
        <f aca="false">N32*5000</f>
        <v>300000</v>
      </c>
      <c r="AA32" s="73" t="n">
        <v>1614000</v>
      </c>
      <c r="AB32" s="74" t="n">
        <v>43154</v>
      </c>
      <c r="AC32" s="47" t="n">
        <v>44196</v>
      </c>
      <c r="AD32" s="45" t="n">
        <v>1</v>
      </c>
      <c r="AE32" s="45"/>
      <c r="AF32" s="45"/>
      <c r="AG32" s="73" t="n">
        <v>1614000</v>
      </c>
      <c r="AH32" s="45" t="n">
        <v>0</v>
      </c>
      <c r="AI32" s="45" t="s">
        <v>375</v>
      </c>
      <c r="AJ32" s="45"/>
      <c r="AK32" s="47" t="n">
        <v>44139</v>
      </c>
      <c r="AL32" s="48" t="n">
        <v>0.8918</v>
      </c>
      <c r="AM32" s="45" t="n">
        <v>7</v>
      </c>
      <c r="AN32" s="45" t="s">
        <v>387</v>
      </c>
      <c r="AO32" s="45"/>
      <c r="AP32" s="45"/>
      <c r="AQ32" s="45" t="s">
        <v>117</v>
      </c>
      <c r="AR32" s="45" t="s">
        <v>117</v>
      </c>
      <c r="AS32" s="45" t="s">
        <v>313</v>
      </c>
      <c r="AT32" s="45" t="n">
        <v>7</v>
      </c>
      <c r="AU32" s="78" t="n">
        <f aca="false">O32*0.05</f>
        <v>3</v>
      </c>
      <c r="AV32" s="45"/>
      <c r="AW32" s="45"/>
      <c r="AX32" s="45"/>
      <c r="AY32" s="45"/>
      <c r="AZ32" s="45"/>
      <c r="BA32" s="45"/>
      <c r="BB32" s="45"/>
      <c r="BC32" s="79"/>
    </row>
    <row r="33" customFormat="false" ht="28.35" hidden="false" customHeight="false" outlineLevel="0" collapsed="false">
      <c r="A33" s="45" t="s">
        <v>29</v>
      </c>
      <c r="B33" s="45" t="s">
        <v>4</v>
      </c>
      <c r="C33" s="45" t="s">
        <v>30</v>
      </c>
      <c r="D33" s="45" t="s">
        <v>186</v>
      </c>
      <c r="E33" s="45" t="s">
        <v>32</v>
      </c>
      <c r="F33" s="45"/>
      <c r="G33" s="45" t="s">
        <v>33</v>
      </c>
      <c r="H33" s="45" t="s">
        <v>34</v>
      </c>
      <c r="I33" s="45" t="s">
        <v>254</v>
      </c>
      <c r="J33" s="45" t="s">
        <v>255</v>
      </c>
      <c r="K33" s="45" t="s">
        <v>388</v>
      </c>
      <c r="L33" s="45" t="s">
        <v>389</v>
      </c>
      <c r="M33" s="45" t="n">
        <v>2018</v>
      </c>
      <c r="N33" s="45" t="n">
        <v>50</v>
      </c>
      <c r="O33" s="45" t="n">
        <v>50</v>
      </c>
      <c r="P33" s="46" t="n">
        <v>50000</v>
      </c>
      <c r="Q33" s="46" t="n">
        <v>50000</v>
      </c>
      <c r="R33" s="45" t="s">
        <v>39</v>
      </c>
      <c r="S33" s="45" t="s">
        <v>256</v>
      </c>
      <c r="T33" s="45" t="s">
        <v>257</v>
      </c>
      <c r="U33" s="73" t="n">
        <v>1820050</v>
      </c>
      <c r="V33" s="73" t="n">
        <v>825000</v>
      </c>
      <c r="W33" s="73" t="n">
        <f aca="false">N34*8901</f>
        <v>445050</v>
      </c>
      <c r="X33" s="73" t="n">
        <v>1320050</v>
      </c>
      <c r="Y33" s="73" t="n">
        <f aca="false">N33*5000</f>
        <v>250000</v>
      </c>
      <c r="Z33" s="73" t="n">
        <f aca="false">N33*5000</f>
        <v>250000</v>
      </c>
      <c r="AA33" s="73" t="n">
        <v>1820050</v>
      </c>
      <c r="AB33" s="74" t="n">
        <v>43154</v>
      </c>
      <c r="AC33" s="47" t="n">
        <v>44196</v>
      </c>
      <c r="AD33" s="45" t="n">
        <v>1</v>
      </c>
      <c r="AE33" s="45"/>
      <c r="AF33" s="45"/>
      <c r="AG33" s="73" t="n">
        <v>1820050</v>
      </c>
      <c r="AH33" s="45" t="n">
        <v>0</v>
      </c>
      <c r="AI33" s="45" t="s">
        <v>375</v>
      </c>
      <c r="AJ33" s="47" t="n">
        <v>43154</v>
      </c>
      <c r="AK33" s="47" t="n">
        <v>44148</v>
      </c>
      <c r="AL33" s="48" t="n">
        <v>0.89</v>
      </c>
      <c r="AM33" s="45"/>
      <c r="AN33" s="45"/>
      <c r="AO33" s="45"/>
      <c r="AP33" s="45"/>
      <c r="AQ33" s="45" t="s">
        <v>117</v>
      </c>
      <c r="AR33" s="45" t="s">
        <v>117</v>
      </c>
      <c r="AS33" s="45" t="s">
        <v>313</v>
      </c>
      <c r="AT33" s="45" t="n">
        <v>6</v>
      </c>
      <c r="AU33" s="78" t="n">
        <f aca="false">O33*0.05</f>
        <v>2.5</v>
      </c>
      <c r="AV33" s="45"/>
      <c r="AW33" s="45"/>
      <c r="AX33" s="45"/>
      <c r="AY33" s="45"/>
      <c r="AZ33" s="45"/>
      <c r="BA33" s="45"/>
      <c r="BB33" s="45"/>
      <c r="BC33" s="79"/>
    </row>
    <row r="34" customFormat="false" ht="28.35" hidden="false" customHeight="false" outlineLevel="0" collapsed="false">
      <c r="A34" s="45" t="s">
        <v>29</v>
      </c>
      <c r="B34" s="45" t="s">
        <v>4</v>
      </c>
      <c r="C34" s="45" t="s">
        <v>30</v>
      </c>
      <c r="D34" s="45" t="s">
        <v>186</v>
      </c>
      <c r="E34" s="45" t="s">
        <v>32</v>
      </c>
      <c r="F34" s="45"/>
      <c r="G34" s="45" t="s">
        <v>33</v>
      </c>
      <c r="H34" s="45" t="s">
        <v>314</v>
      </c>
      <c r="I34" s="45" t="s">
        <v>258</v>
      </c>
      <c r="J34" s="45" t="s">
        <v>188</v>
      </c>
      <c r="K34" s="45" t="s">
        <v>315</v>
      </c>
      <c r="L34" s="45" t="s">
        <v>390</v>
      </c>
      <c r="M34" s="45" t="n">
        <v>2018</v>
      </c>
      <c r="N34" s="45" t="n">
        <v>50</v>
      </c>
      <c r="O34" s="45" t="n">
        <v>50</v>
      </c>
      <c r="P34" s="46" t="n">
        <v>50000</v>
      </c>
      <c r="Q34" s="46" t="n">
        <v>50000</v>
      </c>
      <c r="R34" s="45" t="s">
        <v>39</v>
      </c>
      <c r="S34" s="45" t="s">
        <v>256</v>
      </c>
      <c r="T34" s="45" t="s">
        <v>257</v>
      </c>
      <c r="U34" s="73" t="n">
        <v>1820050</v>
      </c>
      <c r="V34" s="73" t="n">
        <v>825000</v>
      </c>
      <c r="W34" s="73" t="n">
        <f aca="false">N35*8901</f>
        <v>445050</v>
      </c>
      <c r="X34" s="73" t="n">
        <v>1320050</v>
      </c>
      <c r="Y34" s="73" t="n">
        <f aca="false">N34*5000</f>
        <v>250000</v>
      </c>
      <c r="Z34" s="73" t="n">
        <f aca="false">N34*5000</f>
        <v>250000</v>
      </c>
      <c r="AA34" s="73" t="n">
        <v>1820050</v>
      </c>
      <c r="AB34" s="74" t="n">
        <v>43154</v>
      </c>
      <c r="AC34" s="47" t="n">
        <v>44196</v>
      </c>
      <c r="AD34" s="45" t="n">
        <v>1</v>
      </c>
      <c r="AE34" s="45"/>
      <c r="AF34" s="45"/>
      <c r="AG34" s="73" t="n">
        <v>1820050</v>
      </c>
      <c r="AH34" s="45" t="n">
        <v>0</v>
      </c>
      <c r="AI34" s="45" t="s">
        <v>375</v>
      </c>
      <c r="AJ34" s="81" t="n">
        <v>44172</v>
      </c>
      <c r="AK34" s="47" t="n">
        <v>44148</v>
      </c>
      <c r="AL34" s="48" t="n">
        <v>0.9</v>
      </c>
      <c r="AM34" s="45"/>
      <c r="AN34" s="45"/>
      <c r="AO34" s="45"/>
      <c r="AP34" s="45"/>
      <c r="AQ34" s="45" t="s">
        <v>117</v>
      </c>
      <c r="AR34" s="45" t="s">
        <v>117</v>
      </c>
      <c r="AS34" s="45" t="s">
        <v>313</v>
      </c>
      <c r="AT34" s="45" t="n">
        <v>6</v>
      </c>
      <c r="AU34" s="78" t="n">
        <f aca="false">O34*0.05</f>
        <v>2.5</v>
      </c>
      <c r="AV34" s="45"/>
      <c r="AW34" s="45"/>
      <c r="AX34" s="45"/>
      <c r="AY34" s="45"/>
      <c r="AZ34" s="45"/>
      <c r="BA34" s="45"/>
      <c r="BB34" s="45"/>
      <c r="BC34" s="79"/>
    </row>
    <row r="35" customFormat="false" ht="391" hidden="false" customHeight="false" outlineLevel="0" collapsed="false">
      <c r="A35" s="45" t="s">
        <v>29</v>
      </c>
      <c r="B35" s="45" t="s">
        <v>4</v>
      </c>
      <c r="C35" s="45" t="s">
        <v>30</v>
      </c>
      <c r="D35" s="45" t="s">
        <v>259</v>
      </c>
      <c r="E35" s="45" t="s">
        <v>73</v>
      </c>
      <c r="F35" s="45"/>
      <c r="G35" s="45" t="s">
        <v>33</v>
      </c>
      <c r="H35" s="45" t="s">
        <v>47</v>
      </c>
      <c r="I35" s="45" t="s">
        <v>260</v>
      </c>
      <c r="J35" s="45" t="s">
        <v>261</v>
      </c>
      <c r="K35" s="45" t="s">
        <v>391</v>
      </c>
      <c r="L35" s="45" t="s">
        <v>392</v>
      </c>
      <c r="M35" s="45" t="n">
        <v>2018</v>
      </c>
      <c r="N35" s="45" t="n">
        <v>50</v>
      </c>
      <c r="O35" s="45" t="n">
        <v>50</v>
      </c>
      <c r="P35" s="46" t="n">
        <v>83300</v>
      </c>
      <c r="Q35" s="46" t="n">
        <v>83300</v>
      </c>
      <c r="R35" s="45" t="s">
        <v>39</v>
      </c>
      <c r="S35" s="45" t="s">
        <v>231</v>
      </c>
      <c r="T35" s="45" t="s">
        <v>231</v>
      </c>
      <c r="U35" s="73" t="n">
        <v>2624500</v>
      </c>
      <c r="V35" s="73" t="n">
        <f aca="false">N35*1666*15</f>
        <v>1249500</v>
      </c>
      <c r="W35" s="73" t="n">
        <f aca="false">N35*6500</f>
        <v>325000</v>
      </c>
      <c r="X35" s="73" t="n">
        <v>551500</v>
      </c>
      <c r="Y35" s="73" t="n">
        <f aca="false">N35*5000</f>
        <v>250000</v>
      </c>
      <c r="Z35" s="73" t="n">
        <f aca="false">N35*5000</f>
        <v>250000</v>
      </c>
      <c r="AA35" s="73" t="n">
        <v>721500</v>
      </c>
      <c r="AB35" s="74" t="n">
        <v>43159</v>
      </c>
      <c r="AC35" s="47" t="n">
        <v>44196</v>
      </c>
      <c r="AD35" s="45" t="n">
        <v>1</v>
      </c>
      <c r="AE35" s="45"/>
      <c r="AF35" s="45"/>
      <c r="AG35" s="73" t="n">
        <v>2124500</v>
      </c>
      <c r="AH35" s="45" t="n">
        <v>0</v>
      </c>
      <c r="AI35" s="45" t="s">
        <v>375</v>
      </c>
      <c r="AJ35" s="47" t="n">
        <v>43154</v>
      </c>
      <c r="AK35" s="81" t="n">
        <v>44139</v>
      </c>
      <c r="AL35" s="48" t="n">
        <v>0.8519</v>
      </c>
      <c r="AM35" s="45" t="s">
        <v>393</v>
      </c>
      <c r="AN35" s="45" t="s">
        <v>394</v>
      </c>
      <c r="AO35" s="45" t="s">
        <v>336</v>
      </c>
      <c r="AP35" s="45"/>
      <c r="AQ35" s="45" t="s">
        <v>395</v>
      </c>
      <c r="AR35" s="45" t="s">
        <v>396</v>
      </c>
      <c r="AS35" s="45" t="s">
        <v>313</v>
      </c>
      <c r="AT35" s="45" t="n">
        <v>6</v>
      </c>
      <c r="AU35" s="78" t="n">
        <f aca="false">O35*0.05</f>
        <v>2.5</v>
      </c>
      <c r="AV35" s="45"/>
      <c r="AW35" s="45"/>
      <c r="AX35" s="45"/>
      <c r="AY35" s="45"/>
      <c r="AZ35" s="45"/>
      <c r="BA35" s="45"/>
      <c r="BB35" s="45"/>
      <c r="BC35" s="79"/>
    </row>
    <row r="36" customFormat="false" ht="28.35" hidden="false" customHeight="false" outlineLevel="0" collapsed="false">
      <c r="A36" s="45" t="s">
        <v>29</v>
      </c>
      <c r="B36" s="45" t="s">
        <v>4</v>
      </c>
      <c r="C36" s="45" t="s">
        <v>30</v>
      </c>
      <c r="D36" s="45" t="s">
        <v>85</v>
      </c>
      <c r="E36" s="45" t="s">
        <v>73</v>
      </c>
      <c r="F36" s="45"/>
      <c r="G36" s="45" t="s">
        <v>33</v>
      </c>
      <c r="H36" s="45" t="s">
        <v>47</v>
      </c>
      <c r="I36" s="45" t="s">
        <v>262</v>
      </c>
      <c r="J36" s="45" t="s">
        <v>87</v>
      </c>
      <c r="K36" s="45" t="s">
        <v>397</v>
      </c>
      <c r="L36" s="45" t="s">
        <v>398</v>
      </c>
      <c r="M36" s="45" t="n">
        <v>2018</v>
      </c>
      <c r="N36" s="45" t="n">
        <v>50</v>
      </c>
      <c r="O36" s="45" t="n">
        <v>50</v>
      </c>
      <c r="P36" s="46" t="n">
        <v>58750</v>
      </c>
      <c r="Q36" s="46" t="n">
        <v>58750</v>
      </c>
      <c r="R36" s="45" t="s">
        <v>39</v>
      </c>
      <c r="S36" s="45" t="s">
        <v>40</v>
      </c>
      <c r="T36" s="45" t="s">
        <v>263</v>
      </c>
      <c r="U36" s="73" t="n">
        <v>1345000</v>
      </c>
      <c r="V36" s="73" t="n">
        <f aca="false">N36*1175*8</f>
        <v>470000</v>
      </c>
      <c r="W36" s="73" t="n">
        <f aca="false">N36*6500</f>
        <v>325000</v>
      </c>
      <c r="X36" s="73" t="n">
        <v>845000</v>
      </c>
      <c r="Y36" s="73" t="n">
        <f aca="false">N36*5000</f>
        <v>250000</v>
      </c>
      <c r="Z36" s="73" t="n">
        <f aca="false">N36*5000</f>
        <v>250000</v>
      </c>
      <c r="AA36" s="73" t="n">
        <v>1345000</v>
      </c>
      <c r="AB36" s="74" t="n">
        <v>43636</v>
      </c>
      <c r="AC36" s="47" t="n">
        <v>44196</v>
      </c>
      <c r="AD36" s="45" t="n">
        <v>1</v>
      </c>
      <c r="AE36" s="45"/>
      <c r="AF36" s="45"/>
      <c r="AG36" s="73" t="n">
        <v>1270000</v>
      </c>
      <c r="AH36" s="45" t="n">
        <v>0</v>
      </c>
      <c r="AI36" s="45" t="s">
        <v>375</v>
      </c>
      <c r="AJ36" s="45" t="s">
        <v>375</v>
      </c>
      <c r="AK36" s="47" t="n">
        <v>44145</v>
      </c>
      <c r="AL36" s="48" t="n">
        <v>0.8822</v>
      </c>
      <c r="AM36" s="45"/>
      <c r="AN36" s="45"/>
      <c r="AO36" s="45"/>
      <c r="AP36" s="45"/>
      <c r="AQ36" s="45" t="s">
        <v>117</v>
      </c>
      <c r="AR36" s="45" t="s">
        <v>117</v>
      </c>
      <c r="AS36" s="45" t="s">
        <v>313</v>
      </c>
      <c r="AT36" s="45" t="n">
        <v>6</v>
      </c>
      <c r="AU36" s="78" t="n">
        <f aca="false">O36*0.05</f>
        <v>2.5</v>
      </c>
      <c r="AV36" s="45"/>
      <c r="AW36" s="45"/>
      <c r="AX36" s="45"/>
      <c r="AY36" s="45"/>
      <c r="AZ36" s="45"/>
      <c r="BA36" s="45"/>
      <c r="BB36" s="45"/>
      <c r="BC36" s="79"/>
    </row>
    <row r="37" customFormat="false" ht="28.35" hidden="false" customHeight="false" outlineLevel="0" collapsed="false">
      <c r="A37" s="45" t="s">
        <v>29</v>
      </c>
      <c r="B37" s="45" t="s">
        <v>4</v>
      </c>
      <c r="C37" s="45" t="s">
        <v>43</v>
      </c>
      <c r="D37" s="45" t="s">
        <v>44</v>
      </c>
      <c r="E37" s="45" t="s">
        <v>45</v>
      </c>
      <c r="F37" s="45"/>
      <c r="G37" s="45" t="s">
        <v>46</v>
      </c>
      <c r="H37" s="45" t="s">
        <v>47</v>
      </c>
      <c r="I37" s="45" t="s">
        <v>264</v>
      </c>
      <c r="J37" s="45" t="s">
        <v>49</v>
      </c>
      <c r="K37" s="45" t="s">
        <v>50</v>
      </c>
      <c r="L37" s="45" t="s">
        <v>399</v>
      </c>
      <c r="M37" s="45" t="n">
        <v>2018</v>
      </c>
      <c r="N37" s="45" t="n">
        <v>50</v>
      </c>
      <c r="O37" s="45" t="n">
        <v>50</v>
      </c>
      <c r="P37" s="46" t="n">
        <v>50000</v>
      </c>
      <c r="Q37" s="46" t="n">
        <v>50000</v>
      </c>
      <c r="R37" s="45" t="s">
        <v>39</v>
      </c>
      <c r="S37" s="45" t="s">
        <v>52</v>
      </c>
      <c r="T37" s="45" t="s">
        <v>265</v>
      </c>
      <c r="U37" s="73" t="n">
        <v>1820050</v>
      </c>
      <c r="V37" s="73" t="n">
        <v>825000</v>
      </c>
      <c r="W37" s="73" t="n">
        <f aca="false">N37*8901</f>
        <v>445050</v>
      </c>
      <c r="X37" s="73" t="n">
        <v>1320050</v>
      </c>
      <c r="Y37" s="73" t="n">
        <f aca="false">N37*5000</f>
        <v>250000</v>
      </c>
      <c r="Z37" s="73" t="n">
        <f aca="false">N37*5000</f>
        <v>250000</v>
      </c>
      <c r="AA37" s="73" t="n">
        <v>1820050</v>
      </c>
      <c r="AB37" s="74" t="n">
        <v>43153</v>
      </c>
      <c r="AC37" s="47" t="n">
        <v>44196</v>
      </c>
      <c r="AD37" s="45" t="n">
        <v>1</v>
      </c>
      <c r="AE37" s="45"/>
      <c r="AF37" s="45"/>
      <c r="AG37" s="73" t="n">
        <v>1539542.5</v>
      </c>
      <c r="AH37" s="45" t="n">
        <v>0</v>
      </c>
      <c r="AI37" s="45" t="s">
        <v>375</v>
      </c>
      <c r="AJ37" s="45" t="s">
        <v>400</v>
      </c>
      <c r="AK37" s="47" t="n">
        <v>44162</v>
      </c>
      <c r="AL37" s="48" t="n">
        <v>0.899</v>
      </c>
      <c r="AM37" s="45"/>
      <c r="AN37" s="45"/>
      <c r="AO37" s="45"/>
      <c r="AP37" s="45"/>
      <c r="AQ37" s="45" t="s">
        <v>117</v>
      </c>
      <c r="AR37" s="45" t="s">
        <v>117</v>
      </c>
      <c r="AS37" s="45" t="s">
        <v>313</v>
      </c>
      <c r="AT37" s="45" t="n">
        <v>6</v>
      </c>
      <c r="AU37" s="78" t="n">
        <f aca="false">O37*0.05</f>
        <v>2.5</v>
      </c>
      <c r="AV37" s="45"/>
      <c r="AW37" s="45"/>
      <c r="AX37" s="45"/>
      <c r="AY37" s="45"/>
      <c r="AZ37" s="45"/>
      <c r="BA37" s="45"/>
      <c r="BB37" s="45"/>
      <c r="BC37" s="79"/>
    </row>
    <row r="38" customFormat="false" ht="15.75" hidden="false" customHeight="false" outlineLevel="0" collapsed="false">
      <c r="A38" s="45" t="s">
        <v>29</v>
      </c>
      <c r="B38" s="45" t="s">
        <v>4</v>
      </c>
      <c r="C38" s="45" t="s">
        <v>30</v>
      </c>
      <c r="D38" s="45" t="s">
        <v>220</v>
      </c>
      <c r="E38" s="45" t="s">
        <v>221</v>
      </c>
      <c r="F38" s="45"/>
      <c r="G38" s="45" t="s">
        <v>33</v>
      </c>
      <c r="H38" s="45" t="s">
        <v>47</v>
      </c>
      <c r="I38" s="45" t="s">
        <v>266</v>
      </c>
      <c r="J38" s="45" t="s">
        <v>267</v>
      </c>
      <c r="K38" s="45" t="s">
        <v>401</v>
      </c>
      <c r="L38" s="45" t="s">
        <v>402</v>
      </c>
      <c r="M38" s="45" t="n">
        <v>2018</v>
      </c>
      <c r="N38" s="45" t="n">
        <v>20</v>
      </c>
      <c r="O38" s="45" t="n">
        <v>20</v>
      </c>
      <c r="P38" s="46" t="n">
        <v>4000</v>
      </c>
      <c r="Q38" s="46" t="n">
        <v>4000</v>
      </c>
      <c r="R38" s="45" t="s">
        <v>39</v>
      </c>
      <c r="S38" s="45" t="s">
        <v>184</v>
      </c>
      <c r="T38" s="45" t="s">
        <v>185</v>
      </c>
      <c r="U38" s="45"/>
      <c r="V38" s="73" t="n">
        <f aca="false">N38*200*35</f>
        <v>140000</v>
      </c>
      <c r="W38" s="73" t="n">
        <f aca="false">N38*6500</f>
        <v>130000</v>
      </c>
      <c r="X38" s="45"/>
      <c r="Y38" s="73" t="n">
        <f aca="false">N38*5000</f>
        <v>100000</v>
      </c>
      <c r="Z38" s="73" t="n">
        <f aca="false">N38*5000</f>
        <v>100000</v>
      </c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 t="s">
        <v>373</v>
      </c>
      <c r="AT38" s="45" t="n">
        <v>3</v>
      </c>
      <c r="AU38" s="78" t="n">
        <f aca="false">O38*0.05</f>
        <v>1</v>
      </c>
      <c r="AV38" s="45"/>
      <c r="AW38" s="45"/>
      <c r="AX38" s="45"/>
      <c r="AY38" s="45"/>
      <c r="AZ38" s="45"/>
      <c r="BA38" s="45"/>
      <c r="BB38" s="45"/>
      <c r="BC38" s="79"/>
    </row>
    <row r="39" customFormat="false" ht="41.75" hidden="false" customHeight="false" outlineLevel="0" collapsed="false">
      <c r="A39" s="45" t="s">
        <v>29</v>
      </c>
      <c r="B39" s="45" t="s">
        <v>4</v>
      </c>
      <c r="C39" s="45" t="s">
        <v>30</v>
      </c>
      <c r="D39" s="45" t="s">
        <v>268</v>
      </c>
      <c r="E39" s="45" t="s">
        <v>178</v>
      </c>
      <c r="F39" s="45"/>
      <c r="G39" s="45" t="s">
        <v>33</v>
      </c>
      <c r="H39" s="45" t="s">
        <v>47</v>
      </c>
      <c r="I39" s="45" t="s">
        <v>269</v>
      </c>
      <c r="J39" s="45" t="s">
        <v>270</v>
      </c>
      <c r="K39" s="45" t="s">
        <v>403</v>
      </c>
      <c r="L39" s="45" t="s">
        <v>404</v>
      </c>
      <c r="M39" s="45" t="n">
        <v>2018</v>
      </c>
      <c r="N39" s="45" t="n">
        <v>25</v>
      </c>
      <c r="O39" s="45" t="n">
        <v>25</v>
      </c>
      <c r="P39" s="46" t="n">
        <v>5000</v>
      </c>
      <c r="Q39" s="46" t="n">
        <v>5000</v>
      </c>
      <c r="R39" s="45" t="s">
        <v>39</v>
      </c>
      <c r="S39" s="45" t="s">
        <v>184</v>
      </c>
      <c r="T39" s="45" t="s">
        <v>184</v>
      </c>
      <c r="U39" s="45"/>
      <c r="V39" s="73" t="n">
        <f aca="false">N39*200*35</f>
        <v>175000</v>
      </c>
      <c r="W39" s="73" t="n">
        <f aca="false">N39*6500</f>
        <v>162500</v>
      </c>
      <c r="X39" s="45"/>
      <c r="Y39" s="73" t="n">
        <f aca="false">N39*5000</f>
        <v>125000</v>
      </c>
      <c r="Z39" s="73" t="n">
        <f aca="false">N39*5000</f>
        <v>125000</v>
      </c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 t="s">
        <v>373</v>
      </c>
      <c r="AT39" s="45" t="n">
        <v>3</v>
      </c>
      <c r="AU39" s="78" t="n">
        <f aca="false">O39*0.05</f>
        <v>1.25</v>
      </c>
      <c r="AV39" s="45"/>
      <c r="AW39" s="45"/>
      <c r="AX39" s="45"/>
      <c r="AY39" s="45"/>
      <c r="AZ39" s="45"/>
      <c r="BA39" s="45"/>
      <c r="BB39" s="45"/>
      <c r="BC39" s="79"/>
    </row>
    <row r="40" customFormat="false" ht="28.35" hidden="false" customHeight="false" outlineLevel="0" collapsed="false">
      <c r="A40" s="45" t="s">
        <v>29</v>
      </c>
      <c r="B40" s="45" t="s">
        <v>4</v>
      </c>
      <c r="C40" s="45" t="s">
        <v>30</v>
      </c>
      <c r="D40" s="45" t="s">
        <v>259</v>
      </c>
      <c r="E40" s="45" t="s">
        <v>73</v>
      </c>
      <c r="F40" s="45"/>
      <c r="G40" s="45" t="s">
        <v>33</v>
      </c>
      <c r="H40" s="45" t="s">
        <v>47</v>
      </c>
      <c r="I40" s="45" t="s">
        <v>271</v>
      </c>
      <c r="J40" s="45" t="s">
        <v>272</v>
      </c>
      <c r="K40" s="45" t="s">
        <v>405</v>
      </c>
      <c r="L40" s="45" t="s">
        <v>406</v>
      </c>
      <c r="M40" s="45" t="n">
        <v>2018</v>
      </c>
      <c r="N40" s="45" t="n">
        <v>17</v>
      </c>
      <c r="O40" s="45" t="n">
        <v>17</v>
      </c>
      <c r="P40" s="46" t="n">
        <v>17000</v>
      </c>
      <c r="Q40" s="46" t="n">
        <v>17000</v>
      </c>
      <c r="R40" s="45" t="s">
        <v>52</v>
      </c>
      <c r="S40" s="45" t="s">
        <v>52</v>
      </c>
      <c r="T40" s="45" t="s">
        <v>231</v>
      </c>
      <c r="U40" s="45"/>
      <c r="V40" s="73" t="n">
        <f aca="false">N40*1666*15</f>
        <v>424830</v>
      </c>
      <c r="W40" s="73" t="n">
        <f aca="false">N40*6500</f>
        <v>110500</v>
      </c>
      <c r="X40" s="45"/>
      <c r="Y40" s="73" t="n">
        <f aca="false">N40*5000</f>
        <v>85000</v>
      </c>
      <c r="Z40" s="73" t="n">
        <f aca="false">N40*5000</f>
        <v>85000</v>
      </c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 t="s">
        <v>407</v>
      </c>
      <c r="AT40" s="45" t="n">
        <v>3</v>
      </c>
      <c r="AU40" s="78" t="n">
        <f aca="false">O40*0.05</f>
        <v>0.85</v>
      </c>
      <c r="AV40" s="45"/>
      <c r="AW40" s="45"/>
      <c r="AX40" s="45"/>
      <c r="AY40" s="45"/>
      <c r="AZ40" s="45"/>
      <c r="BA40" s="45"/>
      <c r="BB40" s="45"/>
      <c r="BC40" s="79"/>
    </row>
    <row r="41" customFormat="false" ht="15.75" hidden="false" customHeight="false" outlineLevel="0" collapsed="false">
      <c r="A41" s="45" t="s">
        <v>29</v>
      </c>
      <c r="B41" s="45" t="s">
        <v>4</v>
      </c>
      <c r="C41" s="45" t="s">
        <v>30</v>
      </c>
      <c r="D41" s="45" t="s">
        <v>186</v>
      </c>
      <c r="E41" s="45" t="s">
        <v>32</v>
      </c>
      <c r="F41" s="45"/>
      <c r="G41" s="45" t="s">
        <v>33</v>
      </c>
      <c r="H41" s="45" t="s">
        <v>47</v>
      </c>
      <c r="I41" s="45" t="s">
        <v>273</v>
      </c>
      <c r="J41" s="45" t="s">
        <v>274</v>
      </c>
      <c r="K41" s="45" t="s">
        <v>408</v>
      </c>
      <c r="L41" s="45" t="s">
        <v>409</v>
      </c>
      <c r="M41" s="45" t="n">
        <v>2018</v>
      </c>
      <c r="N41" s="45" t="n">
        <v>60</v>
      </c>
      <c r="O41" s="45" t="n">
        <v>60</v>
      </c>
      <c r="P41" s="46" t="n">
        <v>70500</v>
      </c>
      <c r="Q41" s="46" t="n">
        <v>70500</v>
      </c>
      <c r="R41" s="45" t="s">
        <v>39</v>
      </c>
      <c r="S41" s="45" t="s">
        <v>40</v>
      </c>
      <c r="T41" s="45" t="s">
        <v>275</v>
      </c>
      <c r="U41" s="45"/>
      <c r="V41" s="73" t="n">
        <f aca="false">N41*1175*8</f>
        <v>564000</v>
      </c>
      <c r="W41" s="73" t="n">
        <f aca="false">N41*6500</f>
        <v>390000</v>
      </c>
      <c r="X41" s="45"/>
      <c r="Y41" s="73" t="n">
        <f aca="false">N41*5000</f>
        <v>300000</v>
      </c>
      <c r="Z41" s="73" t="n">
        <f aca="false">N41*5000</f>
        <v>300000</v>
      </c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 t="s">
        <v>407</v>
      </c>
      <c r="AT41" s="45" t="n">
        <v>7</v>
      </c>
      <c r="AU41" s="78" t="n">
        <f aca="false">O41*0.05</f>
        <v>3</v>
      </c>
      <c r="AV41" s="45"/>
      <c r="AW41" s="45"/>
      <c r="AX41" s="45"/>
      <c r="AY41" s="45"/>
      <c r="AZ41" s="45"/>
      <c r="BA41" s="45"/>
      <c r="BB41" s="45"/>
      <c r="BC41" s="79"/>
    </row>
    <row r="42" customFormat="false" ht="28.35" hidden="false" customHeight="false" outlineLevel="0" collapsed="false">
      <c r="A42" s="45" t="s">
        <v>29</v>
      </c>
      <c r="B42" s="45" t="s">
        <v>4</v>
      </c>
      <c r="C42" s="45" t="s">
        <v>30</v>
      </c>
      <c r="D42" s="45" t="s">
        <v>97</v>
      </c>
      <c r="E42" s="45" t="s">
        <v>79</v>
      </c>
      <c r="F42" s="45"/>
      <c r="G42" s="45" t="s">
        <v>80</v>
      </c>
      <c r="H42" s="45" t="s">
        <v>47</v>
      </c>
      <c r="I42" s="45" t="s">
        <v>143</v>
      </c>
      <c r="J42" s="45" t="s">
        <v>144</v>
      </c>
      <c r="K42" s="45" t="s">
        <v>379</v>
      </c>
      <c r="L42" s="45" t="s">
        <v>410</v>
      </c>
      <c r="M42" s="45" t="n">
        <v>2020</v>
      </c>
      <c r="N42" s="45" t="n">
        <v>15</v>
      </c>
      <c r="O42" s="45" t="n">
        <v>15</v>
      </c>
      <c r="P42" s="46" t="n">
        <v>24990</v>
      </c>
      <c r="Q42" s="46" t="n">
        <v>24990</v>
      </c>
      <c r="R42" s="45" t="s">
        <v>39</v>
      </c>
      <c r="S42" s="45" t="s">
        <v>40</v>
      </c>
      <c r="T42" s="45" t="s">
        <v>145</v>
      </c>
      <c r="U42" s="73" t="n">
        <v>477420</v>
      </c>
      <c r="V42" s="73" t="n">
        <f aca="false">N42*1666*8</f>
        <v>199920</v>
      </c>
      <c r="W42" s="73" t="n">
        <f aca="false">N42*6500</f>
        <v>97500</v>
      </c>
      <c r="X42" s="73" t="n">
        <v>327420</v>
      </c>
      <c r="Y42" s="73" t="n">
        <f aca="false">N42*5000</f>
        <v>75000</v>
      </c>
      <c r="Z42" s="73" t="n">
        <f aca="false">N42*5000</f>
        <v>75000</v>
      </c>
      <c r="AA42" s="73" t="n">
        <v>477420</v>
      </c>
      <c r="AB42" s="74" t="n">
        <v>43902</v>
      </c>
      <c r="AC42" s="47" t="n">
        <v>44926</v>
      </c>
      <c r="AD42" s="45" t="n">
        <v>1</v>
      </c>
      <c r="AE42" s="45"/>
      <c r="AF42" s="45" t="s">
        <v>411</v>
      </c>
      <c r="AG42" s="73" t="n">
        <v>447420</v>
      </c>
      <c r="AH42" s="45" t="n">
        <v>0</v>
      </c>
      <c r="AI42" s="45" t="s">
        <v>375</v>
      </c>
      <c r="AJ42" s="81" t="n">
        <v>43896</v>
      </c>
      <c r="AK42" s="47" t="n">
        <v>44876</v>
      </c>
      <c r="AL42" s="48" t="n">
        <v>0.8675</v>
      </c>
      <c r="AM42" s="45"/>
      <c r="AN42" s="45"/>
      <c r="AO42" s="45"/>
      <c r="AP42" s="45"/>
      <c r="AQ42" s="45" t="s">
        <v>117</v>
      </c>
      <c r="AR42" s="45" t="s">
        <v>117</v>
      </c>
      <c r="AS42" s="45" t="s">
        <v>313</v>
      </c>
      <c r="AT42" s="45" t="n">
        <v>2</v>
      </c>
      <c r="AU42" s="78"/>
      <c r="AV42" s="45"/>
      <c r="AW42" s="45" t="n">
        <v>2</v>
      </c>
      <c r="AX42" s="45"/>
      <c r="AY42" s="45"/>
      <c r="AZ42" s="45"/>
      <c r="BA42" s="45"/>
      <c r="BB42" s="45"/>
      <c r="BC42" s="79"/>
    </row>
    <row r="43" customFormat="false" ht="95.5" hidden="false" customHeight="false" outlineLevel="0" collapsed="false">
      <c r="A43" s="45" t="s">
        <v>29</v>
      </c>
      <c r="B43" s="45" t="s">
        <v>4</v>
      </c>
      <c r="C43" s="45" t="s">
        <v>30</v>
      </c>
      <c r="D43" s="45" t="s">
        <v>55</v>
      </c>
      <c r="E43" s="45" t="s">
        <v>32</v>
      </c>
      <c r="F43" s="45"/>
      <c r="G43" s="45" t="s">
        <v>33</v>
      </c>
      <c r="H43" s="45" t="s">
        <v>34</v>
      </c>
      <c r="I43" s="45" t="s">
        <v>146</v>
      </c>
      <c r="J43" s="45" t="s">
        <v>147</v>
      </c>
      <c r="K43" s="45" t="s">
        <v>58</v>
      </c>
      <c r="L43" s="45" t="s">
        <v>412</v>
      </c>
      <c r="M43" s="45" t="n">
        <v>2020</v>
      </c>
      <c r="N43" s="45" t="n">
        <v>25</v>
      </c>
      <c r="O43" s="45" t="n">
        <v>25</v>
      </c>
      <c r="P43" s="46" t="n">
        <v>41650</v>
      </c>
      <c r="Q43" s="46" t="n">
        <v>41650</v>
      </c>
      <c r="R43" s="45" t="s">
        <v>39</v>
      </c>
      <c r="S43" s="45" t="s">
        <v>40</v>
      </c>
      <c r="T43" s="45" t="s">
        <v>145</v>
      </c>
      <c r="U43" s="73" t="n">
        <v>795700</v>
      </c>
      <c r="V43" s="73" t="n">
        <f aca="false">N43*1666*8</f>
        <v>333200</v>
      </c>
      <c r="W43" s="73" t="n">
        <f aca="false">N43*6500</f>
        <v>162500</v>
      </c>
      <c r="X43" s="73" t="n">
        <v>545700</v>
      </c>
      <c r="Y43" s="73" t="n">
        <f aca="false">N43*5000</f>
        <v>125000</v>
      </c>
      <c r="Z43" s="73" t="n">
        <f aca="false">N43*5000</f>
        <v>125000</v>
      </c>
      <c r="AA43" s="73" t="n">
        <v>795700</v>
      </c>
      <c r="AB43" s="74" t="n">
        <v>43902</v>
      </c>
      <c r="AC43" s="47" t="n">
        <v>44926</v>
      </c>
      <c r="AD43" s="45" t="n">
        <v>1</v>
      </c>
      <c r="AE43" s="45"/>
      <c r="AF43" s="45" t="s">
        <v>411</v>
      </c>
      <c r="AG43" s="73" t="n">
        <v>795700</v>
      </c>
      <c r="AH43" s="45" t="n">
        <v>0</v>
      </c>
      <c r="AI43" s="45" t="s">
        <v>375</v>
      </c>
      <c r="AJ43" s="81" t="n">
        <v>43896</v>
      </c>
      <c r="AK43" s="47" t="n">
        <v>44876</v>
      </c>
      <c r="AL43" s="48" t="n">
        <v>0.8624</v>
      </c>
      <c r="AM43" s="45" t="n">
        <v>10</v>
      </c>
      <c r="AN43" s="45" t="s">
        <v>413</v>
      </c>
      <c r="AO43" s="45"/>
      <c r="AP43" s="45"/>
      <c r="AQ43" s="45" t="s">
        <v>117</v>
      </c>
      <c r="AR43" s="45" t="s">
        <v>117</v>
      </c>
      <c r="AS43" s="45" t="s">
        <v>313</v>
      </c>
      <c r="AT43" s="45" t="n">
        <v>3</v>
      </c>
      <c r="AU43" s="78"/>
      <c r="AV43" s="45"/>
      <c r="AW43" s="45" t="n">
        <v>3</v>
      </c>
      <c r="AX43" s="45"/>
      <c r="AY43" s="45"/>
      <c r="AZ43" s="45"/>
      <c r="BA43" s="45"/>
      <c r="BB43" s="45"/>
      <c r="BC43" s="79"/>
    </row>
    <row r="44" customFormat="false" ht="28.35" hidden="false" customHeight="false" outlineLevel="0" collapsed="false">
      <c r="A44" s="45" t="s">
        <v>29</v>
      </c>
      <c r="B44" s="45" t="s">
        <v>4</v>
      </c>
      <c r="C44" s="45" t="s">
        <v>30</v>
      </c>
      <c r="D44" s="45" t="s">
        <v>55</v>
      </c>
      <c r="E44" s="45" t="s">
        <v>32</v>
      </c>
      <c r="F44" s="45"/>
      <c r="G44" s="45" t="s">
        <v>33</v>
      </c>
      <c r="H44" s="45" t="s">
        <v>34</v>
      </c>
      <c r="I44" s="45" t="s">
        <v>148</v>
      </c>
      <c r="J44" s="45" t="s">
        <v>147</v>
      </c>
      <c r="K44" s="45" t="s">
        <v>58</v>
      </c>
      <c r="L44" s="45" t="s">
        <v>412</v>
      </c>
      <c r="M44" s="45" t="n">
        <v>2020</v>
      </c>
      <c r="N44" s="45" t="n">
        <v>20</v>
      </c>
      <c r="O44" s="45" t="n">
        <v>20</v>
      </c>
      <c r="P44" s="46" t="n">
        <v>33320</v>
      </c>
      <c r="Q44" s="46" t="n">
        <v>33320</v>
      </c>
      <c r="R44" s="45" t="s">
        <v>39</v>
      </c>
      <c r="S44" s="45" t="s">
        <v>40</v>
      </c>
      <c r="T44" s="45" t="s">
        <v>145</v>
      </c>
      <c r="U44" s="73" t="n">
        <v>636560</v>
      </c>
      <c r="V44" s="73" t="n">
        <f aca="false">N44*1175*8</f>
        <v>188000</v>
      </c>
      <c r="W44" s="73" t="n">
        <f aca="false">N44*6500</f>
        <v>130000</v>
      </c>
      <c r="X44" s="73" t="n">
        <v>436560</v>
      </c>
      <c r="Y44" s="73" t="n">
        <f aca="false">N44*5000</f>
        <v>100000</v>
      </c>
      <c r="Z44" s="73" t="n">
        <f aca="false">N44*5000</f>
        <v>100000</v>
      </c>
      <c r="AA44" s="73" t="n">
        <v>636560</v>
      </c>
      <c r="AB44" s="74" t="n">
        <v>43902</v>
      </c>
      <c r="AC44" s="47" t="n">
        <v>44926</v>
      </c>
      <c r="AD44" s="45" t="n">
        <v>1</v>
      </c>
      <c r="AE44" s="45"/>
      <c r="AF44" s="45" t="s">
        <v>411</v>
      </c>
      <c r="AG44" s="73" t="n">
        <v>636560</v>
      </c>
      <c r="AH44" s="45" t="n">
        <v>0</v>
      </c>
      <c r="AI44" s="45" t="s">
        <v>375</v>
      </c>
      <c r="AJ44" s="81" t="n">
        <v>43896</v>
      </c>
      <c r="AK44" s="47" t="n">
        <v>44875</v>
      </c>
      <c r="AL44" s="48" t="n">
        <v>0.8624</v>
      </c>
      <c r="AM44" s="45"/>
      <c r="AN44" s="45"/>
      <c r="AO44" s="45"/>
      <c r="AP44" s="45"/>
      <c r="AQ44" s="45" t="s">
        <v>117</v>
      </c>
      <c r="AR44" s="45" t="s">
        <v>117</v>
      </c>
      <c r="AS44" s="45" t="s">
        <v>313</v>
      </c>
      <c r="AT44" s="45" t="n">
        <v>3</v>
      </c>
      <c r="AU44" s="78"/>
      <c r="AV44" s="45"/>
      <c r="AW44" s="45" t="n">
        <v>3</v>
      </c>
      <c r="AX44" s="45"/>
      <c r="AY44" s="45"/>
      <c r="AZ44" s="45"/>
      <c r="BA44" s="45"/>
      <c r="BB44" s="45"/>
      <c r="BC44" s="79"/>
    </row>
    <row r="45" customFormat="false" ht="108.95" hidden="false" customHeight="false" outlineLevel="0" collapsed="false">
      <c r="A45" s="45" t="s">
        <v>29</v>
      </c>
      <c r="B45" s="45" t="s">
        <v>4</v>
      </c>
      <c r="C45" s="45" t="s">
        <v>30</v>
      </c>
      <c r="D45" s="45" t="s">
        <v>55</v>
      </c>
      <c r="E45" s="45" t="s">
        <v>32</v>
      </c>
      <c r="F45" s="45"/>
      <c r="G45" s="45" t="s">
        <v>33</v>
      </c>
      <c r="H45" s="45" t="s">
        <v>47</v>
      </c>
      <c r="I45" s="45" t="s">
        <v>149</v>
      </c>
      <c r="J45" s="45" t="s">
        <v>147</v>
      </c>
      <c r="K45" s="45" t="s">
        <v>58</v>
      </c>
      <c r="L45" s="45" t="s">
        <v>412</v>
      </c>
      <c r="M45" s="45" t="n">
        <v>2020</v>
      </c>
      <c r="N45" s="45" t="n">
        <v>20</v>
      </c>
      <c r="O45" s="45" t="n">
        <v>20</v>
      </c>
      <c r="P45" s="46" t="n">
        <v>33320</v>
      </c>
      <c r="Q45" s="46" t="n">
        <v>33320</v>
      </c>
      <c r="R45" s="45" t="s">
        <v>39</v>
      </c>
      <c r="S45" s="45" t="s">
        <v>40</v>
      </c>
      <c r="T45" s="45" t="s">
        <v>145</v>
      </c>
      <c r="U45" s="73" t="n">
        <v>636560</v>
      </c>
      <c r="V45" s="73" t="n">
        <f aca="false">N45*1666*8</f>
        <v>266560</v>
      </c>
      <c r="W45" s="73" t="n">
        <f aca="false">N45*6500</f>
        <v>130000</v>
      </c>
      <c r="X45" s="73" t="n">
        <v>436560</v>
      </c>
      <c r="Y45" s="73" t="n">
        <f aca="false">N45*5000</f>
        <v>100000</v>
      </c>
      <c r="Z45" s="73" t="n">
        <f aca="false">N45*5000</f>
        <v>100000</v>
      </c>
      <c r="AA45" s="73" t="n">
        <v>636560</v>
      </c>
      <c r="AB45" s="74" t="n">
        <v>43902</v>
      </c>
      <c r="AC45" s="47" t="n">
        <v>44926</v>
      </c>
      <c r="AD45" s="45" t="n">
        <v>1</v>
      </c>
      <c r="AE45" s="45"/>
      <c r="AF45" s="45" t="s">
        <v>411</v>
      </c>
      <c r="AG45" s="73" t="n">
        <v>636560</v>
      </c>
      <c r="AH45" s="45" t="n">
        <v>0</v>
      </c>
      <c r="AI45" s="45" t="s">
        <v>375</v>
      </c>
      <c r="AJ45" s="81" t="n">
        <v>43896</v>
      </c>
      <c r="AK45" s="47" t="n">
        <v>44873</v>
      </c>
      <c r="AL45" s="48" t="n">
        <v>0.8544</v>
      </c>
      <c r="AM45" s="45" t="n">
        <v>20</v>
      </c>
      <c r="AN45" s="45" t="s">
        <v>414</v>
      </c>
      <c r="AO45" s="45"/>
      <c r="AP45" s="45"/>
      <c r="AQ45" s="45" t="s">
        <v>117</v>
      </c>
      <c r="AR45" s="45" t="s">
        <v>117</v>
      </c>
      <c r="AS45" s="45" t="s">
        <v>313</v>
      </c>
      <c r="AT45" s="45" t="n">
        <v>3</v>
      </c>
      <c r="AU45" s="78"/>
      <c r="AV45" s="45"/>
      <c r="AW45" s="45" t="n">
        <v>3</v>
      </c>
      <c r="AX45" s="45"/>
      <c r="AY45" s="45"/>
      <c r="AZ45" s="45"/>
      <c r="BA45" s="45"/>
      <c r="BB45" s="45"/>
      <c r="BC45" s="79"/>
    </row>
    <row r="46" customFormat="false" ht="108.95" hidden="false" customHeight="false" outlineLevel="0" collapsed="false">
      <c r="A46" s="45" t="s">
        <v>29</v>
      </c>
      <c r="B46" s="45" t="s">
        <v>4</v>
      </c>
      <c r="C46" s="45" t="s">
        <v>30</v>
      </c>
      <c r="D46" s="45" t="s">
        <v>55</v>
      </c>
      <c r="E46" s="45" t="s">
        <v>32</v>
      </c>
      <c r="F46" s="45"/>
      <c r="G46" s="45" t="s">
        <v>33</v>
      </c>
      <c r="H46" s="45" t="s">
        <v>34</v>
      </c>
      <c r="I46" s="45" t="s">
        <v>150</v>
      </c>
      <c r="J46" s="45" t="s">
        <v>147</v>
      </c>
      <c r="K46" s="45" t="s">
        <v>58</v>
      </c>
      <c r="L46" s="45" t="s">
        <v>412</v>
      </c>
      <c r="M46" s="45" t="n">
        <v>2020</v>
      </c>
      <c r="N46" s="45" t="n">
        <v>20</v>
      </c>
      <c r="O46" s="45" t="n">
        <v>20</v>
      </c>
      <c r="P46" s="46" t="n">
        <v>33320</v>
      </c>
      <c r="Q46" s="46" t="n">
        <v>33320</v>
      </c>
      <c r="R46" s="45" t="s">
        <v>39</v>
      </c>
      <c r="S46" s="45" t="s">
        <v>40</v>
      </c>
      <c r="T46" s="45" t="s">
        <v>145</v>
      </c>
      <c r="U46" s="73" t="n">
        <v>636560</v>
      </c>
      <c r="V46" s="73" t="n">
        <f aca="false">N46*1666*8</f>
        <v>266560</v>
      </c>
      <c r="W46" s="73" t="n">
        <f aca="false">N46*6500</f>
        <v>130000</v>
      </c>
      <c r="X46" s="73" t="n">
        <v>436560</v>
      </c>
      <c r="Y46" s="73" t="n">
        <f aca="false">N46*5000</f>
        <v>100000</v>
      </c>
      <c r="Z46" s="73" t="n">
        <f aca="false">N46*5000</f>
        <v>100000</v>
      </c>
      <c r="AA46" s="73" t="n">
        <v>636560</v>
      </c>
      <c r="AB46" s="74" t="n">
        <v>43902</v>
      </c>
      <c r="AC46" s="47" t="n">
        <v>44926</v>
      </c>
      <c r="AD46" s="45" t="n">
        <v>1</v>
      </c>
      <c r="AE46" s="45"/>
      <c r="AF46" s="45" t="s">
        <v>411</v>
      </c>
      <c r="AG46" s="73" t="n">
        <v>636560</v>
      </c>
      <c r="AH46" s="45" t="n">
        <v>0</v>
      </c>
      <c r="AI46" s="45" t="s">
        <v>375</v>
      </c>
      <c r="AJ46" s="81" t="n">
        <v>43896</v>
      </c>
      <c r="AK46" s="47" t="n">
        <v>44874</v>
      </c>
      <c r="AL46" s="48" t="n">
        <v>0.8574</v>
      </c>
      <c r="AM46" s="45" t="n">
        <v>20</v>
      </c>
      <c r="AN46" s="45" t="s">
        <v>414</v>
      </c>
      <c r="AO46" s="45"/>
      <c r="AP46" s="45"/>
      <c r="AQ46" s="45" t="s">
        <v>117</v>
      </c>
      <c r="AR46" s="45" t="s">
        <v>117</v>
      </c>
      <c r="AS46" s="45" t="s">
        <v>313</v>
      </c>
      <c r="AT46" s="45" t="n">
        <v>3</v>
      </c>
      <c r="AU46" s="78"/>
      <c r="AV46" s="45"/>
      <c r="AW46" s="45" t="n">
        <v>3</v>
      </c>
      <c r="AX46" s="45"/>
      <c r="AY46" s="45"/>
      <c r="AZ46" s="45"/>
      <c r="BA46" s="45"/>
      <c r="BB46" s="45"/>
      <c r="BC46" s="79"/>
    </row>
    <row r="47" customFormat="false" ht="28.35" hidden="false" customHeight="false" outlineLevel="0" collapsed="false">
      <c r="A47" s="45" t="s">
        <v>29</v>
      </c>
      <c r="B47" s="45" t="s">
        <v>4</v>
      </c>
      <c r="C47" s="45" t="s">
        <v>30</v>
      </c>
      <c r="D47" s="45" t="s">
        <v>151</v>
      </c>
      <c r="E47" s="45" t="s">
        <v>32</v>
      </c>
      <c r="F47" s="45"/>
      <c r="G47" s="45" t="s">
        <v>33</v>
      </c>
      <c r="H47" s="45" t="s">
        <v>34</v>
      </c>
      <c r="I47" s="45" t="s">
        <v>152</v>
      </c>
      <c r="J47" s="45" t="s">
        <v>153</v>
      </c>
      <c r="K47" s="45" t="s">
        <v>318</v>
      </c>
      <c r="L47" s="45" t="s">
        <v>415</v>
      </c>
      <c r="M47" s="45" t="n">
        <v>2020</v>
      </c>
      <c r="N47" s="45" t="n">
        <v>25</v>
      </c>
      <c r="O47" s="45" t="n">
        <v>25</v>
      </c>
      <c r="P47" s="46" t="n">
        <v>41650</v>
      </c>
      <c r="Q47" s="46" t="n">
        <v>41650</v>
      </c>
      <c r="R47" s="45" t="s">
        <v>39</v>
      </c>
      <c r="S47" s="45" t="s">
        <v>40</v>
      </c>
      <c r="T47" s="45" t="s">
        <v>154</v>
      </c>
      <c r="U47" s="73" t="n">
        <v>795700</v>
      </c>
      <c r="V47" s="73" t="n">
        <f aca="false">N47*1666*8</f>
        <v>333200</v>
      </c>
      <c r="W47" s="73" t="n">
        <f aca="false">N47*6500</f>
        <v>162500</v>
      </c>
      <c r="X47" s="73" t="n">
        <v>545700</v>
      </c>
      <c r="Y47" s="73" t="n">
        <f aca="false">N47*5000</f>
        <v>125000</v>
      </c>
      <c r="Z47" s="73" t="n">
        <f aca="false">N47*5000</f>
        <v>125000</v>
      </c>
      <c r="AA47" s="73" t="n">
        <v>795700</v>
      </c>
      <c r="AB47" s="74" t="n">
        <v>43902</v>
      </c>
      <c r="AC47" s="47" t="n">
        <v>44926</v>
      </c>
      <c r="AD47" s="45" t="n">
        <v>1</v>
      </c>
      <c r="AE47" s="45"/>
      <c r="AF47" s="45" t="s">
        <v>411</v>
      </c>
      <c r="AG47" s="73" t="n">
        <v>795700</v>
      </c>
      <c r="AH47" s="45" t="n">
        <v>0</v>
      </c>
      <c r="AI47" s="45" t="s">
        <v>375</v>
      </c>
      <c r="AJ47" s="81" t="n">
        <v>43896</v>
      </c>
      <c r="AK47" s="47" t="n">
        <v>44889</v>
      </c>
      <c r="AL47" s="48" t="n">
        <v>0.8579</v>
      </c>
      <c r="AM47" s="45"/>
      <c r="AN47" s="45"/>
      <c r="AO47" s="45"/>
      <c r="AP47" s="45"/>
      <c r="AQ47" s="45" t="s">
        <v>311</v>
      </c>
      <c r="AR47" s="45" t="s">
        <v>317</v>
      </c>
      <c r="AS47" s="45" t="s">
        <v>313</v>
      </c>
      <c r="AT47" s="45" t="n">
        <v>3</v>
      </c>
      <c r="AU47" s="78"/>
      <c r="AV47" s="45"/>
      <c r="AW47" s="45" t="n">
        <v>3</v>
      </c>
      <c r="AX47" s="45"/>
      <c r="AY47" s="45"/>
      <c r="AZ47" s="45"/>
      <c r="BA47" s="45"/>
      <c r="BB47" s="45"/>
      <c r="BC47" s="79"/>
    </row>
    <row r="48" customFormat="false" ht="28.35" hidden="false" customHeight="false" outlineLevel="0" collapsed="false">
      <c r="A48" s="45" t="s">
        <v>29</v>
      </c>
      <c r="B48" s="45" t="s">
        <v>4</v>
      </c>
      <c r="C48" s="45" t="s">
        <v>30</v>
      </c>
      <c r="D48" s="45" t="s">
        <v>151</v>
      </c>
      <c r="E48" s="45" t="s">
        <v>32</v>
      </c>
      <c r="F48" s="45"/>
      <c r="G48" s="45" t="s">
        <v>33</v>
      </c>
      <c r="H48" s="45" t="s">
        <v>34</v>
      </c>
      <c r="I48" s="45" t="s">
        <v>155</v>
      </c>
      <c r="J48" s="45" t="s">
        <v>153</v>
      </c>
      <c r="K48" s="45" t="s">
        <v>318</v>
      </c>
      <c r="L48" s="45" t="s">
        <v>415</v>
      </c>
      <c r="M48" s="45" t="n">
        <v>2020</v>
      </c>
      <c r="N48" s="45" t="n">
        <v>25</v>
      </c>
      <c r="O48" s="45" t="n">
        <v>25</v>
      </c>
      <c r="P48" s="46" t="n">
        <v>41650</v>
      </c>
      <c r="Q48" s="46" t="n">
        <v>41650</v>
      </c>
      <c r="R48" s="45" t="s">
        <v>39</v>
      </c>
      <c r="S48" s="45" t="s">
        <v>40</v>
      </c>
      <c r="T48" s="45" t="s">
        <v>154</v>
      </c>
      <c r="U48" s="73" t="n">
        <v>795700</v>
      </c>
      <c r="V48" s="73" t="n">
        <f aca="false">N48*1666*8</f>
        <v>333200</v>
      </c>
      <c r="W48" s="73" t="n">
        <f aca="false">N48*6500</f>
        <v>162500</v>
      </c>
      <c r="X48" s="73" t="n">
        <v>545700</v>
      </c>
      <c r="Y48" s="73" t="n">
        <f aca="false">N48*5000</f>
        <v>125000</v>
      </c>
      <c r="Z48" s="73" t="n">
        <f aca="false">N48*5000</f>
        <v>125000</v>
      </c>
      <c r="AA48" s="73" t="n">
        <v>795700</v>
      </c>
      <c r="AB48" s="74" t="n">
        <v>43902</v>
      </c>
      <c r="AC48" s="47" t="n">
        <v>44926</v>
      </c>
      <c r="AD48" s="45" t="n">
        <v>1</v>
      </c>
      <c r="AE48" s="45"/>
      <c r="AF48" s="45" t="s">
        <v>411</v>
      </c>
      <c r="AG48" s="73" t="n">
        <v>795700</v>
      </c>
      <c r="AH48" s="45" t="n">
        <v>0</v>
      </c>
      <c r="AI48" s="45" t="s">
        <v>375</v>
      </c>
      <c r="AJ48" s="81" t="n">
        <v>43896</v>
      </c>
      <c r="AK48" s="47" t="n">
        <v>44888</v>
      </c>
      <c r="AL48" s="48" t="n">
        <v>0.8572</v>
      </c>
      <c r="AM48" s="45"/>
      <c r="AN48" s="45"/>
      <c r="AO48" s="45"/>
      <c r="AP48" s="45"/>
      <c r="AQ48" s="45" t="s">
        <v>311</v>
      </c>
      <c r="AR48" s="45" t="s">
        <v>317</v>
      </c>
      <c r="AS48" s="45" t="s">
        <v>313</v>
      </c>
      <c r="AT48" s="45" t="n">
        <v>3</v>
      </c>
      <c r="AU48" s="78"/>
      <c r="AV48" s="45"/>
      <c r="AW48" s="45" t="n">
        <v>3</v>
      </c>
      <c r="AX48" s="45"/>
      <c r="AY48" s="45"/>
      <c r="AZ48" s="45"/>
      <c r="BA48" s="45"/>
      <c r="BB48" s="45"/>
      <c r="BC48" s="79"/>
    </row>
    <row r="49" customFormat="false" ht="28.35" hidden="false" customHeight="false" outlineLevel="0" collapsed="false">
      <c r="A49" s="45" t="s">
        <v>29</v>
      </c>
      <c r="B49" s="45" t="s">
        <v>4</v>
      </c>
      <c r="C49" s="45" t="s">
        <v>30</v>
      </c>
      <c r="D49" s="45" t="s">
        <v>151</v>
      </c>
      <c r="E49" s="45" t="s">
        <v>32</v>
      </c>
      <c r="F49" s="45"/>
      <c r="G49" s="45" t="s">
        <v>33</v>
      </c>
      <c r="H49" s="45" t="s">
        <v>34</v>
      </c>
      <c r="I49" s="45" t="s">
        <v>156</v>
      </c>
      <c r="J49" s="45" t="s">
        <v>153</v>
      </c>
      <c r="K49" s="45" t="s">
        <v>318</v>
      </c>
      <c r="L49" s="45" t="s">
        <v>415</v>
      </c>
      <c r="M49" s="45" t="n">
        <v>2020</v>
      </c>
      <c r="N49" s="45" t="n">
        <v>25</v>
      </c>
      <c r="O49" s="45" t="n">
        <v>25</v>
      </c>
      <c r="P49" s="46" t="n">
        <v>41650</v>
      </c>
      <c r="Q49" s="46" t="n">
        <v>41650</v>
      </c>
      <c r="R49" s="45" t="s">
        <v>39</v>
      </c>
      <c r="S49" s="45" t="s">
        <v>40</v>
      </c>
      <c r="T49" s="45" t="s">
        <v>154</v>
      </c>
      <c r="U49" s="73" t="n">
        <v>795700</v>
      </c>
      <c r="V49" s="73" t="n">
        <f aca="false">N49*1666*8</f>
        <v>333200</v>
      </c>
      <c r="W49" s="73" t="n">
        <f aca="false">N49*6500</f>
        <v>162500</v>
      </c>
      <c r="X49" s="73" t="n">
        <v>545700</v>
      </c>
      <c r="Y49" s="73" t="n">
        <f aca="false">N49*5000</f>
        <v>125000</v>
      </c>
      <c r="Z49" s="73" t="n">
        <f aca="false">N49*5000</f>
        <v>125000</v>
      </c>
      <c r="AA49" s="73" t="n">
        <v>795700</v>
      </c>
      <c r="AB49" s="74" t="n">
        <v>43902</v>
      </c>
      <c r="AC49" s="47" t="n">
        <v>44926</v>
      </c>
      <c r="AD49" s="45" t="n">
        <v>1</v>
      </c>
      <c r="AE49" s="45"/>
      <c r="AF49" s="45" t="s">
        <v>411</v>
      </c>
      <c r="AG49" s="73" t="n">
        <v>795700</v>
      </c>
      <c r="AH49" s="45" t="n">
        <v>0</v>
      </c>
      <c r="AI49" s="45" t="s">
        <v>375</v>
      </c>
      <c r="AJ49" s="81" t="n">
        <v>43896</v>
      </c>
      <c r="AK49" s="47" t="n">
        <v>44889</v>
      </c>
      <c r="AL49" s="48" t="n">
        <v>0.8609</v>
      </c>
      <c r="AM49" s="45"/>
      <c r="AN49" s="45"/>
      <c r="AO49" s="45"/>
      <c r="AP49" s="45"/>
      <c r="AQ49" s="45" t="s">
        <v>311</v>
      </c>
      <c r="AR49" s="45" t="s">
        <v>317</v>
      </c>
      <c r="AS49" s="45" t="s">
        <v>313</v>
      </c>
      <c r="AT49" s="45" t="n">
        <v>3</v>
      </c>
      <c r="AU49" s="78"/>
      <c r="AV49" s="45"/>
      <c r="AW49" s="45" t="n">
        <v>3</v>
      </c>
      <c r="AX49" s="45"/>
      <c r="AY49" s="45"/>
      <c r="AZ49" s="45"/>
      <c r="BA49" s="45"/>
      <c r="BB49" s="45"/>
      <c r="BC49" s="79"/>
    </row>
    <row r="50" customFormat="false" ht="28.35" hidden="false" customHeight="false" outlineLevel="0" collapsed="false">
      <c r="A50" s="45" t="s">
        <v>29</v>
      </c>
      <c r="B50" s="45" t="s">
        <v>4</v>
      </c>
      <c r="C50" s="45" t="s">
        <v>30</v>
      </c>
      <c r="D50" s="45" t="s">
        <v>151</v>
      </c>
      <c r="E50" s="45" t="s">
        <v>32</v>
      </c>
      <c r="F50" s="45"/>
      <c r="G50" s="45" t="s">
        <v>33</v>
      </c>
      <c r="H50" s="45" t="s">
        <v>34</v>
      </c>
      <c r="I50" s="45" t="s">
        <v>157</v>
      </c>
      <c r="J50" s="45" t="s">
        <v>153</v>
      </c>
      <c r="K50" s="45" t="s">
        <v>318</v>
      </c>
      <c r="L50" s="45" t="s">
        <v>415</v>
      </c>
      <c r="M50" s="45" t="n">
        <v>2020</v>
      </c>
      <c r="N50" s="45" t="n">
        <v>25</v>
      </c>
      <c r="O50" s="45" t="n">
        <v>25</v>
      </c>
      <c r="P50" s="46" t="n">
        <v>41650</v>
      </c>
      <c r="Q50" s="46" t="n">
        <v>41650</v>
      </c>
      <c r="R50" s="45" t="s">
        <v>39</v>
      </c>
      <c r="S50" s="45" t="s">
        <v>40</v>
      </c>
      <c r="T50" s="45" t="s">
        <v>154</v>
      </c>
      <c r="U50" s="73" t="n">
        <v>795700</v>
      </c>
      <c r="V50" s="73" t="n">
        <f aca="false">N50*1666*8</f>
        <v>333200</v>
      </c>
      <c r="W50" s="73" t="n">
        <f aca="false">N50*6500</f>
        <v>162500</v>
      </c>
      <c r="X50" s="73" t="n">
        <v>545700</v>
      </c>
      <c r="Y50" s="73" t="n">
        <f aca="false">N50*5000</f>
        <v>125000</v>
      </c>
      <c r="Z50" s="73" t="n">
        <f aca="false">N50*5000</f>
        <v>125000</v>
      </c>
      <c r="AA50" s="73" t="n">
        <v>795700</v>
      </c>
      <c r="AB50" s="74" t="n">
        <v>43902</v>
      </c>
      <c r="AC50" s="47" t="n">
        <v>44926</v>
      </c>
      <c r="AD50" s="45" t="n">
        <v>1</v>
      </c>
      <c r="AE50" s="45"/>
      <c r="AF50" s="45" t="s">
        <v>411</v>
      </c>
      <c r="AG50" s="73" t="n">
        <v>795700</v>
      </c>
      <c r="AH50" s="45" t="n">
        <v>0</v>
      </c>
      <c r="AI50" s="45" t="s">
        <v>375</v>
      </c>
      <c r="AJ50" s="81" t="n">
        <v>43896</v>
      </c>
      <c r="AK50" s="47" t="n">
        <v>44889</v>
      </c>
      <c r="AL50" s="48" t="n">
        <v>0.8531</v>
      </c>
      <c r="AM50" s="45"/>
      <c r="AN50" s="45"/>
      <c r="AO50" s="45"/>
      <c r="AP50" s="45"/>
      <c r="AQ50" s="45" t="s">
        <v>311</v>
      </c>
      <c r="AR50" s="45" t="s">
        <v>317</v>
      </c>
      <c r="AS50" s="45" t="s">
        <v>313</v>
      </c>
      <c r="AT50" s="45" t="n">
        <v>3</v>
      </c>
      <c r="AU50" s="78"/>
      <c r="AV50" s="45"/>
      <c r="AW50" s="45" t="n">
        <v>3</v>
      </c>
      <c r="AX50" s="45"/>
      <c r="AY50" s="45"/>
      <c r="AZ50" s="45"/>
      <c r="BA50" s="45"/>
      <c r="BB50" s="45"/>
      <c r="BC50" s="79"/>
    </row>
    <row r="51" customFormat="false" ht="28.35" hidden="false" customHeight="false" outlineLevel="0" collapsed="false">
      <c r="A51" s="45" t="s">
        <v>29</v>
      </c>
      <c r="B51" s="45" t="s">
        <v>4</v>
      </c>
      <c r="C51" s="45" t="s">
        <v>43</v>
      </c>
      <c r="D51" s="45" t="s">
        <v>44</v>
      </c>
      <c r="E51" s="45" t="s">
        <v>45</v>
      </c>
      <c r="F51" s="45"/>
      <c r="G51" s="45" t="s">
        <v>416</v>
      </c>
      <c r="H51" s="45" t="s">
        <v>47</v>
      </c>
      <c r="I51" s="45" t="s">
        <v>158</v>
      </c>
      <c r="J51" s="45" t="s">
        <v>49</v>
      </c>
      <c r="K51" s="45" t="s">
        <v>50</v>
      </c>
      <c r="L51" s="45" t="s">
        <v>417</v>
      </c>
      <c r="M51" s="45" t="n">
        <v>2020</v>
      </c>
      <c r="N51" s="45" t="n">
        <v>15</v>
      </c>
      <c r="O51" s="45" t="n">
        <v>15</v>
      </c>
      <c r="P51" s="46" t="n">
        <v>15000</v>
      </c>
      <c r="Q51" s="46" t="n">
        <v>15000</v>
      </c>
      <c r="R51" s="45" t="s">
        <v>52</v>
      </c>
      <c r="S51" s="45" t="s">
        <v>52</v>
      </c>
      <c r="T51" s="45" t="s">
        <v>54</v>
      </c>
      <c r="U51" s="73" t="n">
        <v>540000</v>
      </c>
      <c r="V51" s="73" t="n">
        <v>262500</v>
      </c>
      <c r="W51" s="73" t="n">
        <f aca="false">N51*6500</f>
        <v>97500</v>
      </c>
      <c r="X51" s="73" t="n">
        <v>390000</v>
      </c>
      <c r="Y51" s="73" t="n">
        <f aca="false">N51*5000</f>
        <v>75000</v>
      </c>
      <c r="Z51" s="73" t="n">
        <f aca="false">N51*5000</f>
        <v>75000</v>
      </c>
      <c r="AA51" s="73" t="n">
        <v>540000</v>
      </c>
      <c r="AB51" s="74" t="n">
        <v>43902</v>
      </c>
      <c r="AC51" s="47" t="n">
        <v>44926</v>
      </c>
      <c r="AD51" s="45" t="n">
        <v>1</v>
      </c>
      <c r="AE51" s="45"/>
      <c r="AF51" s="45" t="s">
        <v>411</v>
      </c>
      <c r="AG51" s="73" t="n">
        <v>540000</v>
      </c>
      <c r="AH51" s="45" t="n">
        <v>0</v>
      </c>
      <c r="AI51" s="45" t="s">
        <v>375</v>
      </c>
      <c r="AJ51" s="45" t="s">
        <v>375</v>
      </c>
      <c r="AK51" s="47" t="n">
        <v>44860</v>
      </c>
      <c r="AL51" s="48" t="n">
        <v>0.8891</v>
      </c>
      <c r="AM51" s="45"/>
      <c r="AN51" s="45"/>
      <c r="AO51" s="45"/>
      <c r="AP51" s="45"/>
      <c r="AQ51" s="45" t="s">
        <v>117</v>
      </c>
      <c r="AR51" s="45" t="s">
        <v>117</v>
      </c>
      <c r="AS51" s="45" t="s">
        <v>313</v>
      </c>
      <c r="AT51" s="45" t="n">
        <v>2</v>
      </c>
      <c r="AU51" s="78"/>
      <c r="AV51" s="45"/>
      <c r="AW51" s="45" t="n">
        <v>2</v>
      </c>
      <c r="AX51" s="45"/>
      <c r="AY51" s="45"/>
      <c r="AZ51" s="45"/>
      <c r="BA51" s="45"/>
      <c r="BB51" s="45"/>
      <c r="BC51" s="79"/>
    </row>
    <row r="52" customFormat="false" ht="28.35" hidden="false" customHeight="false" outlineLevel="0" collapsed="false">
      <c r="A52" s="45" t="s">
        <v>29</v>
      </c>
      <c r="B52" s="45" t="s">
        <v>4</v>
      </c>
      <c r="C52" s="45" t="s">
        <v>43</v>
      </c>
      <c r="D52" s="45" t="s">
        <v>44</v>
      </c>
      <c r="E52" s="45" t="s">
        <v>45</v>
      </c>
      <c r="F52" s="45"/>
      <c r="G52" s="45" t="s">
        <v>416</v>
      </c>
      <c r="H52" s="45" t="s">
        <v>47</v>
      </c>
      <c r="I52" s="45" t="s">
        <v>159</v>
      </c>
      <c r="J52" s="45" t="s">
        <v>49</v>
      </c>
      <c r="K52" s="45" t="s">
        <v>50</v>
      </c>
      <c r="L52" s="45" t="s">
        <v>417</v>
      </c>
      <c r="M52" s="45" t="n">
        <v>2020</v>
      </c>
      <c r="N52" s="45" t="n">
        <v>15</v>
      </c>
      <c r="O52" s="45" t="n">
        <v>15</v>
      </c>
      <c r="P52" s="46" t="n">
        <v>15000</v>
      </c>
      <c r="Q52" s="46" t="n">
        <v>15000</v>
      </c>
      <c r="R52" s="45" t="s">
        <v>52</v>
      </c>
      <c r="S52" s="45" t="s">
        <v>52</v>
      </c>
      <c r="T52" s="45" t="s">
        <v>54</v>
      </c>
      <c r="U52" s="73" t="n">
        <v>540000</v>
      </c>
      <c r="V52" s="73" t="n">
        <v>262500</v>
      </c>
      <c r="W52" s="73" t="n">
        <f aca="false">N52*6500</f>
        <v>97500</v>
      </c>
      <c r="X52" s="73" t="n">
        <v>390000</v>
      </c>
      <c r="Y52" s="73" t="n">
        <f aca="false">N52*5000</f>
        <v>75000</v>
      </c>
      <c r="Z52" s="73" t="n">
        <f aca="false">N52*5000</f>
        <v>75000</v>
      </c>
      <c r="AA52" s="73" t="n">
        <v>540000</v>
      </c>
      <c r="AB52" s="74" t="n">
        <v>43902</v>
      </c>
      <c r="AC52" s="47" t="n">
        <v>44926</v>
      </c>
      <c r="AD52" s="45" t="n">
        <v>1</v>
      </c>
      <c r="AE52" s="45"/>
      <c r="AF52" s="45" t="s">
        <v>411</v>
      </c>
      <c r="AG52" s="73" t="n">
        <v>540000</v>
      </c>
      <c r="AH52" s="45" t="n">
        <v>0</v>
      </c>
      <c r="AI52" s="45" t="s">
        <v>375</v>
      </c>
      <c r="AJ52" s="45" t="s">
        <v>375</v>
      </c>
      <c r="AK52" s="47" t="n">
        <v>44861</v>
      </c>
      <c r="AL52" s="48" t="n">
        <v>0.8975</v>
      </c>
      <c r="AM52" s="45"/>
      <c r="AN52" s="45"/>
      <c r="AO52" s="45"/>
      <c r="AP52" s="45"/>
      <c r="AQ52" s="45" t="s">
        <v>117</v>
      </c>
      <c r="AR52" s="45" t="s">
        <v>117</v>
      </c>
      <c r="AS52" s="45" t="s">
        <v>313</v>
      </c>
      <c r="AT52" s="45" t="n">
        <v>2</v>
      </c>
      <c r="AU52" s="78"/>
      <c r="AV52" s="45"/>
      <c r="AW52" s="45" t="n">
        <v>2</v>
      </c>
      <c r="AX52" s="45"/>
      <c r="AY52" s="45"/>
      <c r="AZ52" s="45"/>
      <c r="BA52" s="45"/>
      <c r="BB52" s="45"/>
      <c r="BC52" s="79"/>
    </row>
    <row r="53" customFormat="false" ht="28.35" hidden="false" customHeight="false" outlineLevel="0" collapsed="false">
      <c r="A53" s="45" t="s">
        <v>29</v>
      </c>
      <c r="B53" s="45" t="s">
        <v>4</v>
      </c>
      <c r="C53" s="45" t="s">
        <v>30</v>
      </c>
      <c r="D53" s="45" t="s">
        <v>72</v>
      </c>
      <c r="E53" s="45" t="s">
        <v>73</v>
      </c>
      <c r="F53" s="45"/>
      <c r="G53" s="45" t="s">
        <v>33</v>
      </c>
      <c r="H53" s="45" t="s">
        <v>34</v>
      </c>
      <c r="I53" s="45" t="s">
        <v>160</v>
      </c>
      <c r="J53" s="45" t="s">
        <v>161</v>
      </c>
      <c r="K53" s="45" t="s">
        <v>418</v>
      </c>
      <c r="L53" s="45" t="s">
        <v>419</v>
      </c>
      <c r="M53" s="45" t="n">
        <v>2020</v>
      </c>
      <c r="N53" s="45" t="n">
        <v>20</v>
      </c>
      <c r="O53" s="45" t="n">
        <v>20</v>
      </c>
      <c r="P53" s="46" t="n">
        <v>33320</v>
      </c>
      <c r="Q53" s="46" t="n">
        <v>33320</v>
      </c>
      <c r="R53" s="45" t="s">
        <v>39</v>
      </c>
      <c r="S53" s="45" t="s">
        <v>40</v>
      </c>
      <c r="T53" s="45" t="s">
        <v>41</v>
      </c>
      <c r="U53" s="73" t="n">
        <v>636560</v>
      </c>
      <c r="V53" s="73" t="n">
        <f aca="false">N53*1666*8</f>
        <v>266560</v>
      </c>
      <c r="W53" s="73" t="n">
        <f aca="false">N53*6500</f>
        <v>130000</v>
      </c>
      <c r="X53" s="73" t="n">
        <v>436560</v>
      </c>
      <c r="Y53" s="73" t="n">
        <f aca="false">N53*5000</f>
        <v>100000</v>
      </c>
      <c r="Z53" s="73" t="n">
        <f aca="false">N53*5000</f>
        <v>100000</v>
      </c>
      <c r="AA53" s="73" t="n">
        <v>636560</v>
      </c>
      <c r="AB53" s="74" t="n">
        <v>44035</v>
      </c>
      <c r="AC53" s="47" t="n">
        <v>44926</v>
      </c>
      <c r="AD53" s="45" t="n">
        <v>1</v>
      </c>
      <c r="AE53" s="45"/>
      <c r="AF53" s="45" t="s">
        <v>411</v>
      </c>
      <c r="AG53" s="73" t="n">
        <v>636560</v>
      </c>
      <c r="AH53" s="45" t="n">
        <v>0</v>
      </c>
      <c r="AI53" s="45" t="s">
        <v>375</v>
      </c>
      <c r="AJ53" s="47" t="n">
        <v>44004</v>
      </c>
      <c r="AK53" s="47" t="n">
        <v>44882</v>
      </c>
      <c r="AL53" s="48" t="n">
        <v>0.87</v>
      </c>
      <c r="AM53" s="45"/>
      <c r="AN53" s="45"/>
      <c r="AO53" s="45"/>
      <c r="AP53" s="45"/>
      <c r="AQ53" s="45" t="s">
        <v>117</v>
      </c>
      <c r="AR53" s="45" t="s">
        <v>117</v>
      </c>
      <c r="AS53" s="45" t="s">
        <v>313</v>
      </c>
      <c r="AT53" s="45" t="n">
        <v>3</v>
      </c>
      <c r="AU53" s="78"/>
      <c r="AV53" s="45"/>
      <c r="AW53" s="45" t="n">
        <v>3</v>
      </c>
      <c r="AX53" s="45"/>
      <c r="AY53" s="45"/>
      <c r="AZ53" s="45"/>
      <c r="BA53" s="45"/>
      <c r="BB53" s="45"/>
      <c r="BC53" s="79"/>
    </row>
    <row r="54" customFormat="false" ht="28.35" hidden="false" customHeight="false" outlineLevel="0" collapsed="false">
      <c r="A54" s="45" t="s">
        <v>29</v>
      </c>
      <c r="B54" s="45" t="s">
        <v>4</v>
      </c>
      <c r="C54" s="45" t="s">
        <v>30</v>
      </c>
      <c r="D54" s="45" t="s">
        <v>151</v>
      </c>
      <c r="E54" s="45" t="s">
        <v>32</v>
      </c>
      <c r="F54" s="45"/>
      <c r="G54" s="45" t="s">
        <v>33</v>
      </c>
      <c r="H54" s="45" t="s">
        <v>47</v>
      </c>
      <c r="I54" s="45" t="s">
        <v>162</v>
      </c>
      <c r="J54" s="45" t="s">
        <v>163</v>
      </c>
      <c r="K54" s="45" t="s">
        <v>383</v>
      </c>
      <c r="L54" s="45" t="s">
        <v>420</v>
      </c>
      <c r="M54" s="45" t="n">
        <v>2020</v>
      </c>
      <c r="N54" s="45" t="n">
        <v>21</v>
      </c>
      <c r="O54" s="45" t="n">
        <v>21</v>
      </c>
      <c r="P54" s="46" t="n">
        <v>21000</v>
      </c>
      <c r="Q54" s="46" t="n">
        <v>21000</v>
      </c>
      <c r="R54" s="45" t="s">
        <v>52</v>
      </c>
      <c r="S54" s="45" t="s">
        <v>53</v>
      </c>
      <c r="T54" s="45" t="s">
        <v>164</v>
      </c>
      <c r="U54" s="73" t="n">
        <v>756000</v>
      </c>
      <c r="V54" s="73" t="n">
        <v>367500</v>
      </c>
      <c r="W54" s="73" t="n">
        <f aca="false">N54*6500</f>
        <v>136500</v>
      </c>
      <c r="X54" s="73" t="n">
        <v>546000</v>
      </c>
      <c r="Y54" s="73" t="n">
        <f aca="false">N54*5000</f>
        <v>105000</v>
      </c>
      <c r="Z54" s="73" t="n">
        <f aca="false">N54*5000</f>
        <v>105000</v>
      </c>
      <c r="AA54" s="73" t="n">
        <v>756000</v>
      </c>
      <c r="AB54" s="74" t="n">
        <v>43902</v>
      </c>
      <c r="AC54" s="47" t="n">
        <v>44926</v>
      </c>
      <c r="AD54" s="45" t="n">
        <v>1</v>
      </c>
      <c r="AE54" s="45"/>
      <c r="AF54" s="45" t="s">
        <v>411</v>
      </c>
      <c r="AG54" s="73" t="n">
        <v>756000</v>
      </c>
      <c r="AH54" s="45" t="n">
        <v>0</v>
      </c>
      <c r="AI54" s="45" t="s">
        <v>375</v>
      </c>
      <c r="AJ54" s="47" t="n">
        <v>44004</v>
      </c>
      <c r="AK54" s="47" t="n">
        <v>44880</v>
      </c>
      <c r="AL54" s="48" t="n">
        <v>0.8655</v>
      </c>
      <c r="AM54" s="45"/>
      <c r="AN54" s="45"/>
      <c r="AO54" s="45"/>
      <c r="AP54" s="45"/>
      <c r="AQ54" s="45" t="s">
        <v>117</v>
      </c>
      <c r="AR54" s="45" t="s">
        <v>117</v>
      </c>
      <c r="AS54" s="45" t="s">
        <v>313</v>
      </c>
      <c r="AT54" s="45" t="n">
        <v>3</v>
      </c>
      <c r="AU54" s="78"/>
      <c r="AV54" s="45"/>
      <c r="AW54" s="45" t="n">
        <v>3</v>
      </c>
      <c r="AX54" s="45"/>
      <c r="AY54" s="45"/>
      <c r="AZ54" s="45"/>
      <c r="BA54" s="45"/>
      <c r="BB54" s="45"/>
      <c r="BC54" s="79"/>
    </row>
    <row r="55" customFormat="false" ht="108.95" hidden="false" customHeight="false" outlineLevel="0" collapsed="false">
      <c r="A55" s="45" t="s">
        <v>29</v>
      </c>
      <c r="B55" s="45" t="s">
        <v>4</v>
      </c>
      <c r="C55" s="45" t="s">
        <v>30</v>
      </c>
      <c r="D55" s="45" t="s">
        <v>151</v>
      </c>
      <c r="E55" s="45" t="s">
        <v>32</v>
      </c>
      <c r="F55" s="45"/>
      <c r="G55" s="45" t="s">
        <v>33</v>
      </c>
      <c r="H55" s="45" t="s">
        <v>47</v>
      </c>
      <c r="I55" s="45" t="s">
        <v>165</v>
      </c>
      <c r="J55" s="45" t="s">
        <v>163</v>
      </c>
      <c r="K55" s="45" t="s">
        <v>383</v>
      </c>
      <c r="L55" s="45" t="s">
        <v>421</v>
      </c>
      <c r="M55" s="45" t="n">
        <v>2020</v>
      </c>
      <c r="N55" s="45" t="n">
        <v>9</v>
      </c>
      <c r="O55" s="45" t="n">
        <v>9</v>
      </c>
      <c r="P55" s="46" t="n">
        <v>15172</v>
      </c>
      <c r="Q55" s="46" t="n">
        <v>15172</v>
      </c>
      <c r="R55" s="45" t="s">
        <v>52</v>
      </c>
      <c r="S55" s="45" t="s">
        <v>53</v>
      </c>
      <c r="T55" s="45" t="s">
        <v>164</v>
      </c>
      <c r="U55" s="73" t="n">
        <v>287876</v>
      </c>
      <c r="V55" s="73" t="n">
        <v>157500</v>
      </c>
      <c r="W55" s="73" t="n">
        <f aca="false">N55*6500</f>
        <v>58500</v>
      </c>
      <c r="X55" s="73" t="n">
        <v>197876</v>
      </c>
      <c r="Y55" s="73" t="n">
        <f aca="false">N55*5000</f>
        <v>45000</v>
      </c>
      <c r="Z55" s="73" t="n">
        <f aca="false">N55*5000</f>
        <v>45000</v>
      </c>
      <c r="AA55" s="73" t="n">
        <v>287876</v>
      </c>
      <c r="AB55" s="74" t="n">
        <v>44035</v>
      </c>
      <c r="AC55" s="47" t="n">
        <v>44926</v>
      </c>
      <c r="AD55" s="45" t="n">
        <v>1</v>
      </c>
      <c r="AE55" s="45"/>
      <c r="AF55" s="45" t="s">
        <v>411</v>
      </c>
      <c r="AG55" s="73" t="n">
        <v>287876</v>
      </c>
      <c r="AH55" s="45" t="n">
        <v>0</v>
      </c>
      <c r="AI55" s="45" t="s">
        <v>375</v>
      </c>
      <c r="AJ55" s="47" t="n">
        <v>44004</v>
      </c>
      <c r="AK55" s="47" t="n">
        <v>44881</v>
      </c>
      <c r="AL55" s="48" t="n">
        <v>0.8661</v>
      </c>
      <c r="AM55" s="45" t="n">
        <v>4</v>
      </c>
      <c r="AN55" s="45" t="s">
        <v>422</v>
      </c>
      <c r="AO55" s="45"/>
      <c r="AP55" s="45"/>
      <c r="AQ55" s="45" t="s">
        <v>117</v>
      </c>
      <c r="AR55" s="45" t="s">
        <v>117</v>
      </c>
      <c r="AS55" s="45" t="s">
        <v>313</v>
      </c>
      <c r="AT55" s="45" t="n">
        <v>2</v>
      </c>
      <c r="AU55" s="78"/>
      <c r="AV55" s="45"/>
      <c r="AW55" s="45" t="n">
        <v>2</v>
      </c>
      <c r="AX55" s="45"/>
      <c r="AY55" s="45"/>
      <c r="AZ55" s="45"/>
      <c r="BA55" s="45"/>
      <c r="BB55" s="45"/>
      <c r="BC55" s="79"/>
    </row>
    <row r="56" customFormat="false" ht="28.35" hidden="false" customHeight="false" outlineLevel="0" collapsed="false">
      <c r="A56" s="45" t="s">
        <v>29</v>
      </c>
      <c r="B56" s="45" t="s">
        <v>4</v>
      </c>
      <c r="C56" s="45" t="s">
        <v>30</v>
      </c>
      <c r="D56" s="45" t="s">
        <v>151</v>
      </c>
      <c r="E56" s="45" t="s">
        <v>32</v>
      </c>
      <c r="F56" s="45"/>
      <c r="G56" s="45" t="s">
        <v>33</v>
      </c>
      <c r="H56" s="45" t="s">
        <v>47</v>
      </c>
      <c r="I56" s="45" t="s">
        <v>166</v>
      </c>
      <c r="J56" s="45" t="s">
        <v>163</v>
      </c>
      <c r="K56" s="45" t="s">
        <v>383</v>
      </c>
      <c r="L56" s="45" t="s">
        <v>421</v>
      </c>
      <c r="M56" s="45" t="n">
        <v>2020</v>
      </c>
      <c r="N56" s="45" t="n">
        <v>20</v>
      </c>
      <c r="O56" s="45" t="n">
        <v>20</v>
      </c>
      <c r="P56" s="46" t="n">
        <v>33320</v>
      </c>
      <c r="Q56" s="46" t="n">
        <v>33320</v>
      </c>
      <c r="R56" s="45" t="s">
        <v>52</v>
      </c>
      <c r="S56" s="45" t="s">
        <v>53</v>
      </c>
      <c r="T56" s="45" t="s">
        <v>164</v>
      </c>
      <c r="U56" s="73" t="n">
        <v>636560</v>
      </c>
      <c r="V56" s="73" t="n">
        <v>350000</v>
      </c>
      <c r="W56" s="73" t="n">
        <f aca="false">N56*6500</f>
        <v>130000</v>
      </c>
      <c r="X56" s="73" t="n">
        <v>436560</v>
      </c>
      <c r="Y56" s="73" t="n">
        <f aca="false">N56*5000</f>
        <v>100000</v>
      </c>
      <c r="Z56" s="73" t="n">
        <f aca="false">N56*5000</f>
        <v>100000</v>
      </c>
      <c r="AA56" s="73" t="n">
        <v>636560</v>
      </c>
      <c r="AB56" s="74" t="n">
        <v>44035</v>
      </c>
      <c r="AC56" s="47" t="n">
        <v>44926</v>
      </c>
      <c r="AD56" s="45" t="n">
        <v>1</v>
      </c>
      <c r="AE56" s="45"/>
      <c r="AF56" s="45" t="s">
        <v>411</v>
      </c>
      <c r="AG56" s="73" t="n">
        <v>636560</v>
      </c>
      <c r="AH56" s="45" t="n">
        <v>0</v>
      </c>
      <c r="AI56" s="45" t="s">
        <v>375</v>
      </c>
      <c r="AJ56" s="47" t="n">
        <v>44004</v>
      </c>
      <c r="AK56" s="47" t="n">
        <v>44880</v>
      </c>
      <c r="AL56" s="48" t="n">
        <v>0.8652</v>
      </c>
      <c r="AM56" s="45"/>
      <c r="AN56" s="45"/>
      <c r="AO56" s="45"/>
      <c r="AP56" s="45"/>
      <c r="AQ56" s="45" t="s">
        <v>117</v>
      </c>
      <c r="AR56" s="45" t="s">
        <v>117</v>
      </c>
      <c r="AS56" s="45" t="s">
        <v>313</v>
      </c>
      <c r="AT56" s="45" t="n">
        <v>3</v>
      </c>
      <c r="AU56" s="78"/>
      <c r="AV56" s="45"/>
      <c r="AW56" s="45" t="n">
        <v>3</v>
      </c>
      <c r="AX56" s="45"/>
      <c r="AY56" s="45"/>
      <c r="AZ56" s="45"/>
      <c r="BA56" s="45"/>
      <c r="BB56" s="45"/>
      <c r="BC56" s="79"/>
    </row>
    <row r="57" customFormat="false" ht="28.35" hidden="false" customHeight="false" outlineLevel="0" collapsed="false">
      <c r="A57" s="45" t="s">
        <v>29</v>
      </c>
      <c r="B57" s="45" t="s">
        <v>4</v>
      </c>
      <c r="C57" s="45" t="s">
        <v>30</v>
      </c>
      <c r="D57" s="45" t="s">
        <v>97</v>
      </c>
      <c r="E57" s="45" t="s">
        <v>79</v>
      </c>
      <c r="F57" s="45"/>
      <c r="G57" s="45" t="s">
        <v>80</v>
      </c>
      <c r="H57" s="45" t="s">
        <v>47</v>
      </c>
      <c r="I57" s="45" t="s">
        <v>167</v>
      </c>
      <c r="J57" s="45" t="s">
        <v>168</v>
      </c>
      <c r="K57" s="45" t="s">
        <v>423</v>
      </c>
      <c r="L57" s="45" t="s">
        <v>424</v>
      </c>
      <c r="M57" s="45" t="n">
        <v>2020</v>
      </c>
      <c r="N57" s="45" t="n">
        <v>25</v>
      </c>
      <c r="O57" s="45" t="n">
        <v>25</v>
      </c>
      <c r="P57" s="46" t="n">
        <v>41650</v>
      </c>
      <c r="Q57" s="46" t="n">
        <v>41650</v>
      </c>
      <c r="R57" s="45" t="s">
        <v>39</v>
      </c>
      <c r="S57" s="45" t="s">
        <v>40</v>
      </c>
      <c r="T57" s="45" t="s">
        <v>41</v>
      </c>
      <c r="U57" s="73" t="n">
        <v>795700</v>
      </c>
      <c r="V57" s="73" t="n">
        <f aca="false">N57*1666*8</f>
        <v>333200</v>
      </c>
      <c r="W57" s="73" t="n">
        <f aca="false">N57*6500</f>
        <v>162500</v>
      </c>
      <c r="X57" s="73" t="n">
        <v>545700</v>
      </c>
      <c r="Y57" s="73" t="n">
        <f aca="false">N57*5000</f>
        <v>125000</v>
      </c>
      <c r="Z57" s="73" t="n">
        <f aca="false">N57*5000</f>
        <v>125000</v>
      </c>
      <c r="AA57" s="73" t="n">
        <v>795700</v>
      </c>
      <c r="AB57" s="74" t="n">
        <v>43902</v>
      </c>
      <c r="AC57" s="47" t="n">
        <v>44926</v>
      </c>
      <c r="AD57" s="45" t="n">
        <v>1</v>
      </c>
      <c r="AE57" s="45"/>
      <c r="AF57" s="45" t="s">
        <v>411</v>
      </c>
      <c r="AG57" s="73" t="n">
        <v>795700</v>
      </c>
      <c r="AH57" s="45" t="n">
        <v>0</v>
      </c>
      <c r="AI57" s="45" t="s">
        <v>375</v>
      </c>
      <c r="AJ57" s="81" t="n">
        <v>43896</v>
      </c>
      <c r="AK57" s="47" t="n">
        <v>44874</v>
      </c>
      <c r="AL57" s="48" t="n">
        <v>0.8745</v>
      </c>
      <c r="AM57" s="45"/>
      <c r="AN57" s="45"/>
      <c r="AO57" s="45"/>
      <c r="AP57" s="45"/>
      <c r="AQ57" s="45" t="s">
        <v>117</v>
      </c>
      <c r="AR57" s="45" t="s">
        <v>117</v>
      </c>
      <c r="AS57" s="45" t="s">
        <v>313</v>
      </c>
      <c r="AT57" s="45" t="n">
        <v>3</v>
      </c>
      <c r="AU57" s="78"/>
      <c r="AV57" s="45"/>
      <c r="AW57" s="45" t="n">
        <v>3</v>
      </c>
      <c r="AX57" s="45"/>
      <c r="AY57" s="45"/>
      <c r="AZ57" s="45"/>
      <c r="BA57" s="45"/>
      <c r="BB57" s="45"/>
      <c r="BC57" s="79"/>
    </row>
    <row r="58" customFormat="false" ht="28.35" hidden="false" customHeight="false" outlineLevel="0" collapsed="false">
      <c r="A58" s="45" t="s">
        <v>29</v>
      </c>
      <c r="B58" s="45" t="s">
        <v>4</v>
      </c>
      <c r="C58" s="45" t="s">
        <v>30</v>
      </c>
      <c r="D58" s="45" t="s">
        <v>97</v>
      </c>
      <c r="E58" s="45" t="s">
        <v>79</v>
      </c>
      <c r="F58" s="45"/>
      <c r="G58" s="45" t="s">
        <v>80</v>
      </c>
      <c r="H58" s="45" t="s">
        <v>47</v>
      </c>
      <c r="I58" s="45" t="s">
        <v>169</v>
      </c>
      <c r="J58" s="45" t="s">
        <v>168</v>
      </c>
      <c r="K58" s="45" t="s">
        <v>423</v>
      </c>
      <c r="L58" s="45" t="s">
        <v>424</v>
      </c>
      <c r="M58" s="45" t="n">
        <v>2020</v>
      </c>
      <c r="N58" s="45" t="n">
        <v>25</v>
      </c>
      <c r="O58" s="45" t="n">
        <v>25</v>
      </c>
      <c r="P58" s="46" t="n">
        <v>41650</v>
      </c>
      <c r="Q58" s="46" t="n">
        <v>41650</v>
      </c>
      <c r="R58" s="45" t="s">
        <v>39</v>
      </c>
      <c r="S58" s="45" t="s">
        <v>40</v>
      </c>
      <c r="T58" s="45" t="s">
        <v>41</v>
      </c>
      <c r="U58" s="73" t="n">
        <v>795700</v>
      </c>
      <c r="V58" s="73" t="n">
        <f aca="false">N58*1666*8</f>
        <v>333200</v>
      </c>
      <c r="W58" s="73" t="n">
        <f aca="false">N58*6500</f>
        <v>162500</v>
      </c>
      <c r="X58" s="73" t="n">
        <v>545700</v>
      </c>
      <c r="Y58" s="73" t="n">
        <f aca="false">N58*5000</f>
        <v>125000</v>
      </c>
      <c r="Z58" s="73" t="n">
        <f aca="false">N58*5000</f>
        <v>125000</v>
      </c>
      <c r="AA58" s="73" t="n">
        <v>795700</v>
      </c>
      <c r="AB58" s="74" t="n">
        <v>43902</v>
      </c>
      <c r="AC58" s="47" t="n">
        <v>44926</v>
      </c>
      <c r="AD58" s="45" t="n">
        <v>1</v>
      </c>
      <c r="AE58" s="45"/>
      <c r="AF58" s="45" t="s">
        <v>411</v>
      </c>
      <c r="AG58" s="73" t="n">
        <v>795700</v>
      </c>
      <c r="AH58" s="45" t="n">
        <v>0</v>
      </c>
      <c r="AI58" s="45" t="s">
        <v>375</v>
      </c>
      <c r="AJ58" s="81" t="n">
        <v>43896</v>
      </c>
      <c r="AK58" s="47" t="n">
        <v>44875</v>
      </c>
      <c r="AL58" s="48" t="n">
        <v>0.8715</v>
      </c>
      <c r="AM58" s="45"/>
      <c r="AN58" s="45"/>
      <c r="AO58" s="45"/>
      <c r="AP58" s="45"/>
      <c r="AQ58" s="45" t="s">
        <v>117</v>
      </c>
      <c r="AR58" s="45" t="s">
        <v>117</v>
      </c>
      <c r="AS58" s="45" t="s">
        <v>313</v>
      </c>
      <c r="AT58" s="45" t="n">
        <v>3</v>
      </c>
      <c r="AU58" s="78"/>
      <c r="AV58" s="45"/>
      <c r="AW58" s="45" t="n">
        <v>3</v>
      </c>
      <c r="AX58" s="45"/>
      <c r="AY58" s="45"/>
      <c r="AZ58" s="45"/>
      <c r="BA58" s="45"/>
      <c r="BB58" s="45"/>
      <c r="BC58" s="79"/>
    </row>
    <row r="59" customFormat="false" ht="28.35" hidden="false" customHeight="false" outlineLevel="0" collapsed="false">
      <c r="A59" s="45" t="s">
        <v>29</v>
      </c>
      <c r="B59" s="45" t="s">
        <v>4</v>
      </c>
      <c r="C59" s="45" t="s">
        <v>30</v>
      </c>
      <c r="D59" s="45" t="s">
        <v>151</v>
      </c>
      <c r="E59" s="45" t="s">
        <v>32</v>
      </c>
      <c r="F59" s="45"/>
      <c r="G59" s="45" t="s">
        <v>33</v>
      </c>
      <c r="H59" s="45" t="s">
        <v>47</v>
      </c>
      <c r="I59" s="45" t="s">
        <v>170</v>
      </c>
      <c r="J59" s="45" t="s">
        <v>171</v>
      </c>
      <c r="K59" s="45" t="s">
        <v>320</v>
      </c>
      <c r="L59" s="45" t="s">
        <v>425</v>
      </c>
      <c r="M59" s="45" t="n">
        <v>2020</v>
      </c>
      <c r="N59" s="45" t="n">
        <v>25</v>
      </c>
      <c r="O59" s="45" t="n">
        <v>25</v>
      </c>
      <c r="P59" s="46" t="n">
        <v>41650</v>
      </c>
      <c r="Q59" s="46" t="n">
        <v>41650</v>
      </c>
      <c r="R59" s="45" t="s">
        <v>39</v>
      </c>
      <c r="S59" s="45" t="s">
        <v>40</v>
      </c>
      <c r="T59" s="45" t="s">
        <v>41</v>
      </c>
      <c r="U59" s="73" t="n">
        <v>795700</v>
      </c>
      <c r="V59" s="73" t="n">
        <f aca="false">N59*1666*8</f>
        <v>333200</v>
      </c>
      <c r="W59" s="73" t="n">
        <f aca="false">N59*6500</f>
        <v>162500</v>
      </c>
      <c r="X59" s="73" t="n">
        <v>545700</v>
      </c>
      <c r="Y59" s="73" t="n">
        <f aca="false">N59*5000</f>
        <v>125000</v>
      </c>
      <c r="Z59" s="73" t="n">
        <f aca="false">N59*5000</f>
        <v>125000</v>
      </c>
      <c r="AA59" s="73" t="n">
        <v>795700</v>
      </c>
      <c r="AB59" s="74" t="n">
        <v>43902</v>
      </c>
      <c r="AC59" s="47" t="n">
        <v>44926</v>
      </c>
      <c r="AD59" s="45" t="n">
        <v>1</v>
      </c>
      <c r="AE59" s="45"/>
      <c r="AF59" s="45" t="s">
        <v>411</v>
      </c>
      <c r="AG59" s="73" t="n">
        <v>795700</v>
      </c>
      <c r="AH59" s="45" t="n">
        <v>0</v>
      </c>
      <c r="AI59" s="45" t="s">
        <v>375</v>
      </c>
      <c r="AJ59" s="81" t="n">
        <v>43896</v>
      </c>
      <c r="AK59" s="47" t="n">
        <v>44882</v>
      </c>
      <c r="AL59" s="48" t="n">
        <v>0.8657</v>
      </c>
      <c r="AM59" s="45"/>
      <c r="AN59" s="45"/>
      <c r="AO59" s="45"/>
      <c r="AP59" s="45"/>
      <c r="AQ59" s="45" t="s">
        <v>117</v>
      </c>
      <c r="AR59" s="45" t="s">
        <v>117</v>
      </c>
      <c r="AS59" s="45" t="s">
        <v>313</v>
      </c>
      <c r="AT59" s="45" t="n">
        <v>3</v>
      </c>
      <c r="AU59" s="78"/>
      <c r="AV59" s="45"/>
      <c r="AW59" s="45" t="n">
        <v>3</v>
      </c>
      <c r="AX59" s="45"/>
      <c r="AY59" s="45"/>
      <c r="AZ59" s="45"/>
      <c r="BA59" s="45"/>
      <c r="BB59" s="45"/>
      <c r="BC59" s="79"/>
    </row>
    <row r="60" customFormat="false" ht="28.35" hidden="false" customHeight="false" outlineLevel="0" collapsed="false">
      <c r="A60" s="45" t="s">
        <v>29</v>
      </c>
      <c r="B60" s="45" t="s">
        <v>4</v>
      </c>
      <c r="C60" s="45" t="s">
        <v>30</v>
      </c>
      <c r="D60" s="45" t="s">
        <v>151</v>
      </c>
      <c r="E60" s="45" t="s">
        <v>32</v>
      </c>
      <c r="F60" s="45"/>
      <c r="G60" s="45" t="s">
        <v>33</v>
      </c>
      <c r="H60" s="45" t="s">
        <v>47</v>
      </c>
      <c r="I60" s="45" t="s">
        <v>172</v>
      </c>
      <c r="J60" s="45" t="s">
        <v>171</v>
      </c>
      <c r="K60" s="45" t="s">
        <v>320</v>
      </c>
      <c r="L60" s="45" t="s">
        <v>425</v>
      </c>
      <c r="M60" s="45" t="n">
        <v>2020</v>
      </c>
      <c r="N60" s="45" t="n">
        <v>25</v>
      </c>
      <c r="O60" s="45" t="n">
        <v>25</v>
      </c>
      <c r="P60" s="46" t="n">
        <v>41650</v>
      </c>
      <c r="Q60" s="46" t="n">
        <v>41650</v>
      </c>
      <c r="R60" s="45" t="s">
        <v>39</v>
      </c>
      <c r="S60" s="45" t="s">
        <v>40</v>
      </c>
      <c r="T60" s="45" t="s">
        <v>41</v>
      </c>
      <c r="U60" s="73" t="n">
        <v>795700</v>
      </c>
      <c r="V60" s="73" t="n">
        <f aca="false">N60*1666*8</f>
        <v>333200</v>
      </c>
      <c r="W60" s="73" t="n">
        <f aca="false">N60*6500</f>
        <v>162500</v>
      </c>
      <c r="X60" s="73" t="n">
        <v>545700</v>
      </c>
      <c r="Y60" s="73" t="n">
        <f aca="false">N60*5000</f>
        <v>125000</v>
      </c>
      <c r="Z60" s="73" t="n">
        <f aca="false">N60*5000</f>
        <v>125000</v>
      </c>
      <c r="AA60" s="73" t="n">
        <v>795700</v>
      </c>
      <c r="AB60" s="74" t="n">
        <v>43902</v>
      </c>
      <c r="AC60" s="47" t="n">
        <v>44926</v>
      </c>
      <c r="AD60" s="45" t="n">
        <v>1</v>
      </c>
      <c r="AE60" s="45"/>
      <c r="AF60" s="45" t="s">
        <v>411</v>
      </c>
      <c r="AG60" s="73" t="n">
        <v>795700</v>
      </c>
      <c r="AH60" s="45" t="n">
        <v>0</v>
      </c>
      <c r="AI60" s="45" t="s">
        <v>375</v>
      </c>
      <c r="AJ60" s="81" t="n">
        <v>43896</v>
      </c>
      <c r="AK60" s="47" t="n">
        <v>44883</v>
      </c>
      <c r="AL60" s="48" t="n">
        <v>0.875</v>
      </c>
      <c r="AM60" s="45"/>
      <c r="AN60" s="45"/>
      <c r="AO60" s="45"/>
      <c r="AP60" s="45"/>
      <c r="AQ60" s="45" t="s">
        <v>117</v>
      </c>
      <c r="AR60" s="45" t="s">
        <v>117</v>
      </c>
      <c r="AS60" s="45" t="s">
        <v>313</v>
      </c>
      <c r="AT60" s="45" t="n">
        <v>3</v>
      </c>
      <c r="AU60" s="78"/>
      <c r="AV60" s="45"/>
      <c r="AW60" s="45" t="n">
        <v>3</v>
      </c>
      <c r="AX60" s="45"/>
      <c r="AY60" s="45"/>
      <c r="AZ60" s="45"/>
      <c r="BA60" s="45"/>
      <c r="BB60" s="45"/>
      <c r="BC60" s="79"/>
    </row>
    <row r="61" customFormat="false" ht="28.35" hidden="false" customHeight="false" outlineLevel="0" collapsed="false">
      <c r="A61" s="45" t="s">
        <v>29</v>
      </c>
      <c r="B61" s="45" t="s">
        <v>4</v>
      </c>
      <c r="C61" s="45" t="s">
        <v>30</v>
      </c>
      <c r="D61" s="45" t="s">
        <v>66</v>
      </c>
      <c r="E61" s="45" t="s">
        <v>67</v>
      </c>
      <c r="F61" s="45"/>
      <c r="G61" s="45" t="s">
        <v>33</v>
      </c>
      <c r="H61" s="45" t="s">
        <v>47</v>
      </c>
      <c r="I61" s="45" t="s">
        <v>173</v>
      </c>
      <c r="J61" s="45" t="s">
        <v>174</v>
      </c>
      <c r="K61" s="45" t="s">
        <v>70</v>
      </c>
      <c r="L61" s="45" t="s">
        <v>426</v>
      </c>
      <c r="M61" s="45" t="n">
        <v>2020</v>
      </c>
      <c r="N61" s="45" t="n">
        <v>25</v>
      </c>
      <c r="O61" s="45" t="n">
        <v>25</v>
      </c>
      <c r="P61" s="46" t="n">
        <v>25000</v>
      </c>
      <c r="Q61" s="46" t="n">
        <v>25000</v>
      </c>
      <c r="R61" s="45" t="s">
        <v>52</v>
      </c>
      <c r="S61" s="45" t="s">
        <v>53</v>
      </c>
      <c r="T61" s="45" t="s">
        <v>175</v>
      </c>
      <c r="U61" s="73" t="n">
        <v>900000</v>
      </c>
      <c r="V61" s="73" t="n">
        <v>437500</v>
      </c>
      <c r="W61" s="73" t="n">
        <f aca="false">N61*6500</f>
        <v>162500</v>
      </c>
      <c r="X61" s="73" t="n">
        <v>650000</v>
      </c>
      <c r="Y61" s="73" t="n">
        <f aca="false">N61*5000</f>
        <v>125000</v>
      </c>
      <c r="Z61" s="73" t="n">
        <f aca="false">N61*5000</f>
        <v>125000</v>
      </c>
      <c r="AA61" s="73" t="n">
        <v>900000</v>
      </c>
      <c r="AB61" s="74" t="n">
        <v>44035</v>
      </c>
      <c r="AC61" s="47" t="n">
        <v>44926</v>
      </c>
      <c r="AD61" s="45" t="n">
        <v>1</v>
      </c>
      <c r="AE61" s="45"/>
      <c r="AF61" s="45" t="s">
        <v>411</v>
      </c>
      <c r="AG61" s="73" t="n">
        <v>900000</v>
      </c>
      <c r="AH61" s="45" t="n">
        <v>0</v>
      </c>
      <c r="AI61" s="45" t="s">
        <v>375</v>
      </c>
      <c r="AJ61" s="47" t="n">
        <v>43885</v>
      </c>
      <c r="AK61" s="47" t="n">
        <v>44861</v>
      </c>
      <c r="AL61" s="48" t="n">
        <v>0.86</v>
      </c>
      <c r="AM61" s="45"/>
      <c r="AN61" s="45"/>
      <c r="AO61" s="45"/>
      <c r="AP61" s="45"/>
      <c r="AQ61" s="45" t="s">
        <v>117</v>
      </c>
      <c r="AR61" s="45" t="s">
        <v>117</v>
      </c>
      <c r="AS61" s="45" t="s">
        <v>313</v>
      </c>
      <c r="AT61" s="45" t="n">
        <v>3</v>
      </c>
      <c r="AU61" s="78"/>
      <c r="AV61" s="45"/>
      <c r="AW61" s="45" t="n">
        <v>3</v>
      </c>
      <c r="AX61" s="45"/>
      <c r="AY61" s="45"/>
      <c r="AZ61" s="45"/>
      <c r="BA61" s="45"/>
      <c r="BB61" s="45"/>
      <c r="BC61" s="79"/>
    </row>
    <row r="62" customFormat="false" ht="28.35" hidden="false" customHeight="false" outlineLevel="0" collapsed="false">
      <c r="A62" s="45" t="s">
        <v>29</v>
      </c>
      <c r="B62" s="45" t="s">
        <v>4</v>
      </c>
      <c r="C62" s="45" t="s">
        <v>30</v>
      </c>
      <c r="D62" s="45" t="s">
        <v>66</v>
      </c>
      <c r="E62" s="45" t="s">
        <v>67</v>
      </c>
      <c r="F62" s="45"/>
      <c r="G62" s="45" t="s">
        <v>33</v>
      </c>
      <c r="H62" s="45" t="s">
        <v>47</v>
      </c>
      <c r="I62" s="45" t="s">
        <v>176</v>
      </c>
      <c r="J62" s="45" t="s">
        <v>174</v>
      </c>
      <c r="K62" s="45" t="s">
        <v>70</v>
      </c>
      <c r="L62" s="45" t="s">
        <v>426</v>
      </c>
      <c r="M62" s="45" t="n">
        <v>2020</v>
      </c>
      <c r="N62" s="45" t="n">
        <v>25</v>
      </c>
      <c r="O62" s="45" t="n">
        <v>25</v>
      </c>
      <c r="P62" s="46" t="n">
        <v>41650</v>
      </c>
      <c r="Q62" s="46" t="n">
        <v>41650</v>
      </c>
      <c r="R62" s="45" t="s">
        <v>39</v>
      </c>
      <c r="S62" s="45" t="s">
        <v>40</v>
      </c>
      <c r="T62" s="45" t="s">
        <v>41</v>
      </c>
      <c r="U62" s="73" t="n">
        <v>795700</v>
      </c>
      <c r="V62" s="73" t="n">
        <f aca="false">N62*1666*8</f>
        <v>333200</v>
      </c>
      <c r="W62" s="73" t="n">
        <f aca="false">N62*6500</f>
        <v>162500</v>
      </c>
      <c r="X62" s="73" t="n">
        <v>545700</v>
      </c>
      <c r="Y62" s="73" t="n">
        <f aca="false">N62*5000</f>
        <v>125000</v>
      </c>
      <c r="Z62" s="73" t="n">
        <f aca="false">N62*5000</f>
        <v>125000</v>
      </c>
      <c r="AA62" s="73" t="n">
        <v>795700</v>
      </c>
      <c r="AB62" s="74" t="n">
        <v>44035</v>
      </c>
      <c r="AC62" s="47" t="n">
        <v>44926</v>
      </c>
      <c r="AD62" s="45" t="n">
        <v>1</v>
      </c>
      <c r="AE62" s="45"/>
      <c r="AF62" s="45" t="s">
        <v>411</v>
      </c>
      <c r="AG62" s="73" t="n">
        <v>795700</v>
      </c>
      <c r="AH62" s="45" t="n">
        <v>0</v>
      </c>
      <c r="AI62" s="45" t="s">
        <v>375</v>
      </c>
      <c r="AJ62" s="47" t="n">
        <v>43885</v>
      </c>
      <c r="AK62" s="47" t="n">
        <v>44861</v>
      </c>
      <c r="AL62" s="48" t="n">
        <v>0.873</v>
      </c>
      <c r="AM62" s="45"/>
      <c r="AN62" s="45"/>
      <c r="AO62" s="45"/>
      <c r="AP62" s="45"/>
      <c r="AQ62" s="45" t="s">
        <v>117</v>
      </c>
      <c r="AR62" s="45" t="s">
        <v>117</v>
      </c>
      <c r="AS62" s="45" t="s">
        <v>313</v>
      </c>
      <c r="AT62" s="45" t="n">
        <v>3</v>
      </c>
      <c r="AU62" s="78"/>
      <c r="AV62" s="45"/>
      <c r="AW62" s="45" t="n">
        <v>3</v>
      </c>
      <c r="AX62" s="45"/>
      <c r="AY62" s="45"/>
      <c r="AZ62" s="45"/>
      <c r="BA62" s="45"/>
      <c r="BB62" s="45"/>
      <c r="BC62" s="79"/>
    </row>
    <row r="63" customFormat="false" ht="95.5" hidden="false" customHeight="false" outlineLevel="0" collapsed="false">
      <c r="A63" s="45" t="s">
        <v>29</v>
      </c>
      <c r="B63" s="45" t="s">
        <v>4</v>
      </c>
      <c r="C63" s="45" t="s">
        <v>30</v>
      </c>
      <c r="D63" s="45" t="s">
        <v>177</v>
      </c>
      <c r="E63" s="45" t="s">
        <v>178</v>
      </c>
      <c r="F63" s="45"/>
      <c r="G63" s="45" t="s">
        <v>33</v>
      </c>
      <c r="H63" s="45" t="s">
        <v>34</v>
      </c>
      <c r="I63" s="45" t="s">
        <v>179</v>
      </c>
      <c r="J63" s="45" t="s">
        <v>161</v>
      </c>
      <c r="K63" s="45" t="s">
        <v>418</v>
      </c>
      <c r="L63" s="45" t="s">
        <v>427</v>
      </c>
      <c r="M63" s="45" t="n">
        <v>2020</v>
      </c>
      <c r="N63" s="45" t="n">
        <v>25</v>
      </c>
      <c r="O63" s="45" t="n">
        <v>25</v>
      </c>
      <c r="P63" s="46" t="n">
        <v>41650</v>
      </c>
      <c r="Q63" s="46" t="n">
        <v>41650</v>
      </c>
      <c r="R63" s="45" t="s">
        <v>39</v>
      </c>
      <c r="S63" s="45" t="s">
        <v>40</v>
      </c>
      <c r="T63" s="45" t="s">
        <v>180</v>
      </c>
      <c r="U63" s="73" t="n">
        <v>795700</v>
      </c>
      <c r="V63" s="73" t="n">
        <f aca="false">N63*1666*8</f>
        <v>333200</v>
      </c>
      <c r="W63" s="73" t="n">
        <f aca="false">N63*6500</f>
        <v>162500</v>
      </c>
      <c r="X63" s="73" t="n">
        <v>545700</v>
      </c>
      <c r="Y63" s="73" t="n">
        <f aca="false">N63*5000</f>
        <v>125000</v>
      </c>
      <c r="Z63" s="73" t="n">
        <f aca="false">N63*5000</f>
        <v>125000</v>
      </c>
      <c r="AA63" s="73" t="n">
        <v>795700</v>
      </c>
      <c r="AB63" s="74" t="n">
        <v>43902</v>
      </c>
      <c r="AC63" s="47" t="n">
        <v>44926</v>
      </c>
      <c r="AD63" s="45" t="n">
        <v>1</v>
      </c>
      <c r="AE63" s="45"/>
      <c r="AF63" s="45" t="s">
        <v>411</v>
      </c>
      <c r="AG63" s="73" t="n">
        <v>795700</v>
      </c>
      <c r="AH63" s="45" t="n">
        <v>0</v>
      </c>
      <c r="AI63" s="45" t="s">
        <v>375</v>
      </c>
      <c r="AJ63" s="45" t="s">
        <v>375</v>
      </c>
      <c r="AK63" s="47" t="n">
        <v>44888</v>
      </c>
      <c r="AL63" s="48" t="n">
        <v>0.87</v>
      </c>
      <c r="AM63" s="45" t="n">
        <v>20</v>
      </c>
      <c r="AN63" s="45" t="s">
        <v>428</v>
      </c>
      <c r="AO63" s="45"/>
      <c r="AP63" s="45"/>
      <c r="AQ63" s="45" t="s">
        <v>117</v>
      </c>
      <c r="AR63" s="45" t="s">
        <v>117</v>
      </c>
      <c r="AS63" s="45" t="s">
        <v>313</v>
      </c>
      <c r="AT63" s="45" t="n">
        <v>3</v>
      </c>
      <c r="AU63" s="78"/>
      <c r="AV63" s="45"/>
      <c r="AW63" s="45" t="n">
        <v>3</v>
      </c>
      <c r="AX63" s="45"/>
      <c r="AY63" s="45"/>
      <c r="AZ63" s="45"/>
      <c r="BA63" s="45"/>
      <c r="BB63" s="45"/>
      <c r="BC63" s="79"/>
    </row>
    <row r="64" customFormat="false" ht="189.55" hidden="false" customHeight="false" outlineLevel="0" collapsed="false">
      <c r="A64" s="45" t="s">
        <v>29</v>
      </c>
      <c r="B64" s="45" t="s">
        <v>4</v>
      </c>
      <c r="C64" s="45" t="s">
        <v>30</v>
      </c>
      <c r="D64" s="45" t="s">
        <v>31</v>
      </c>
      <c r="E64" s="45" t="s">
        <v>32</v>
      </c>
      <c r="F64" s="45"/>
      <c r="G64" s="45" t="s">
        <v>33</v>
      </c>
      <c r="H64" s="45" t="s">
        <v>34</v>
      </c>
      <c r="I64" s="45" t="s">
        <v>35</v>
      </c>
      <c r="J64" s="45" t="s">
        <v>181</v>
      </c>
      <c r="K64" s="45" t="s">
        <v>37</v>
      </c>
      <c r="L64" s="45" t="s">
        <v>38</v>
      </c>
      <c r="M64" s="45" t="n">
        <v>2021</v>
      </c>
      <c r="N64" s="45" t="n">
        <v>20</v>
      </c>
      <c r="O64" s="45" t="n">
        <v>20</v>
      </c>
      <c r="P64" s="46" t="n">
        <v>33462</v>
      </c>
      <c r="Q64" s="46" t="n">
        <v>33462</v>
      </c>
      <c r="R64" s="45" t="s">
        <v>39</v>
      </c>
      <c r="S64" s="45" t="s">
        <v>40</v>
      </c>
      <c r="T64" s="45" t="s">
        <v>41</v>
      </c>
      <c r="U64" s="73" t="n">
        <v>637696</v>
      </c>
      <c r="V64" s="73" t="n">
        <f aca="false">N64*1668*8</f>
        <v>266880</v>
      </c>
      <c r="W64" s="73" t="n">
        <f aca="false">N64*6500</f>
        <v>130000</v>
      </c>
      <c r="X64" s="73" t="n">
        <v>437696</v>
      </c>
      <c r="Y64" s="73" t="n">
        <f aca="false">N64*5000</f>
        <v>100000</v>
      </c>
      <c r="Z64" s="73" t="n">
        <f aca="false">N64*5000</f>
        <v>100000</v>
      </c>
      <c r="AA64" s="73" t="n">
        <v>637696</v>
      </c>
      <c r="AB64" s="45" t="s">
        <v>42</v>
      </c>
      <c r="AC64" s="47" t="n">
        <v>45291</v>
      </c>
      <c r="AD64" s="45" t="n">
        <v>1</v>
      </c>
      <c r="AE64" s="45"/>
      <c r="AF64" s="45" t="s">
        <v>411</v>
      </c>
      <c r="AG64" s="73" t="n">
        <v>637696</v>
      </c>
      <c r="AH64" s="45" t="n">
        <v>0</v>
      </c>
      <c r="AI64" s="45" t="s">
        <v>375</v>
      </c>
      <c r="AJ64" s="45" t="s">
        <v>375</v>
      </c>
      <c r="AK64" s="47" t="n">
        <v>45254</v>
      </c>
      <c r="AL64" s="48" t="n">
        <v>0.8761</v>
      </c>
      <c r="AM64" s="45" t="s">
        <v>429</v>
      </c>
      <c r="AN64" s="45" t="s">
        <v>430</v>
      </c>
      <c r="AO64" s="45"/>
      <c r="AP64" s="45"/>
      <c r="AQ64" s="45" t="s">
        <v>117</v>
      </c>
      <c r="AR64" s="45" t="s">
        <v>117</v>
      </c>
      <c r="AS64" s="45" t="s">
        <v>313</v>
      </c>
      <c r="AT64" s="45" t="n">
        <v>3</v>
      </c>
      <c r="AU64" s="78"/>
      <c r="AV64" s="45"/>
      <c r="AW64" s="45" t="n">
        <v>3</v>
      </c>
      <c r="AX64" s="45"/>
      <c r="AY64" s="45"/>
      <c r="AZ64" s="45"/>
      <c r="BA64" s="45"/>
      <c r="BB64" s="45"/>
      <c r="BC64" s="79"/>
    </row>
    <row r="65" customFormat="false" ht="28.35" hidden="false" customHeight="false" outlineLevel="0" collapsed="false">
      <c r="A65" s="45" t="s">
        <v>29</v>
      </c>
      <c r="B65" s="45" t="s">
        <v>4</v>
      </c>
      <c r="C65" s="45" t="s">
        <v>43</v>
      </c>
      <c r="D65" s="45" t="s">
        <v>44</v>
      </c>
      <c r="E65" s="45" t="s">
        <v>45</v>
      </c>
      <c r="F65" s="45"/>
      <c r="G65" s="45" t="s">
        <v>46</v>
      </c>
      <c r="H65" s="45" t="s">
        <v>47</v>
      </c>
      <c r="I65" s="45" t="s">
        <v>48</v>
      </c>
      <c r="J65" s="45" t="s">
        <v>49</v>
      </c>
      <c r="K65" s="45" t="s">
        <v>50</v>
      </c>
      <c r="L65" s="45" t="s">
        <v>51</v>
      </c>
      <c r="M65" s="45" t="n">
        <v>2021</v>
      </c>
      <c r="N65" s="45" t="n">
        <v>25</v>
      </c>
      <c r="O65" s="45" t="n">
        <v>25</v>
      </c>
      <c r="P65" s="46" t="n">
        <v>12500</v>
      </c>
      <c r="Q65" s="46" t="n">
        <v>12500</v>
      </c>
      <c r="R65" s="45" t="s">
        <v>52</v>
      </c>
      <c r="S65" s="45" t="s">
        <v>53</v>
      </c>
      <c r="T65" s="45" t="s">
        <v>54</v>
      </c>
      <c r="U65" s="73" t="n">
        <v>900000</v>
      </c>
      <c r="V65" s="73" t="n">
        <f aca="false">N65*500*35</f>
        <v>437500</v>
      </c>
      <c r="W65" s="73" t="n">
        <f aca="false">N65*6500</f>
        <v>162500</v>
      </c>
      <c r="X65" s="73" t="n">
        <v>650000</v>
      </c>
      <c r="Y65" s="73" t="n">
        <f aca="false">N65*5000</f>
        <v>125000</v>
      </c>
      <c r="Z65" s="73" t="n">
        <f aca="false">N65*5000</f>
        <v>125000</v>
      </c>
      <c r="AA65" s="73" t="n">
        <v>900000</v>
      </c>
      <c r="AB65" s="45" t="s">
        <v>42</v>
      </c>
      <c r="AC65" s="47" t="n">
        <v>45291</v>
      </c>
      <c r="AD65" s="45" t="n">
        <v>1</v>
      </c>
      <c r="AE65" s="45"/>
      <c r="AF65" s="45" t="s">
        <v>411</v>
      </c>
      <c r="AG65" s="73" t="n">
        <v>900000</v>
      </c>
      <c r="AH65" s="45" t="n">
        <v>0</v>
      </c>
      <c r="AI65" s="45" t="s">
        <v>375</v>
      </c>
      <c r="AJ65" s="45" t="s">
        <v>375</v>
      </c>
      <c r="AK65" s="47" t="n">
        <v>45258</v>
      </c>
      <c r="AL65" s="48" t="n">
        <v>0.885</v>
      </c>
      <c r="AM65" s="45"/>
      <c r="AN65" s="45"/>
      <c r="AO65" s="45"/>
      <c r="AP65" s="45"/>
      <c r="AQ65" s="45" t="s">
        <v>117</v>
      </c>
      <c r="AR65" s="45" t="s">
        <v>117</v>
      </c>
      <c r="AS65" s="45" t="s">
        <v>313</v>
      </c>
      <c r="AT65" s="45" t="n">
        <v>3</v>
      </c>
      <c r="AU65" s="78"/>
      <c r="AV65" s="45"/>
      <c r="AW65" s="45" t="n">
        <v>3</v>
      </c>
      <c r="AX65" s="45"/>
      <c r="AY65" s="45"/>
      <c r="AZ65" s="45"/>
      <c r="BA65" s="45"/>
      <c r="BB65" s="45"/>
      <c r="BC65" s="79"/>
    </row>
    <row r="66" customFormat="false" ht="28.35" hidden="false" customHeight="false" outlineLevel="0" collapsed="false">
      <c r="A66" s="45" t="s">
        <v>29</v>
      </c>
      <c r="B66" s="45" t="s">
        <v>4</v>
      </c>
      <c r="C66" s="45" t="s">
        <v>30</v>
      </c>
      <c r="D66" s="45" t="s">
        <v>55</v>
      </c>
      <c r="E66" s="45" t="s">
        <v>32</v>
      </c>
      <c r="F66" s="45"/>
      <c r="G66" s="45" t="s">
        <v>33</v>
      </c>
      <c r="H66" s="45" t="s">
        <v>47</v>
      </c>
      <c r="I66" s="45" t="s">
        <v>56</v>
      </c>
      <c r="J66" s="45" t="s">
        <v>147</v>
      </c>
      <c r="K66" s="45" t="s">
        <v>58</v>
      </c>
      <c r="L66" s="45" t="s">
        <v>59</v>
      </c>
      <c r="M66" s="45" t="n">
        <v>2021</v>
      </c>
      <c r="N66" s="45" t="n">
        <v>50</v>
      </c>
      <c r="O66" s="45" t="n">
        <v>50</v>
      </c>
      <c r="P66" s="46" t="n">
        <v>25000</v>
      </c>
      <c r="Q66" s="46" t="n">
        <v>25000</v>
      </c>
      <c r="R66" s="45" t="s">
        <v>52</v>
      </c>
      <c r="S66" s="45" t="s">
        <v>53</v>
      </c>
      <c r="T66" s="45" t="s">
        <v>60</v>
      </c>
      <c r="U66" s="73" t="n">
        <v>1800000</v>
      </c>
      <c r="V66" s="73" t="n">
        <f aca="false">N66*500*35</f>
        <v>875000</v>
      </c>
      <c r="W66" s="73" t="n">
        <f aca="false">N66*6500</f>
        <v>325000</v>
      </c>
      <c r="X66" s="73" t="n">
        <v>1300000</v>
      </c>
      <c r="Y66" s="73" t="n">
        <f aca="false">N66*5000</f>
        <v>250000</v>
      </c>
      <c r="Z66" s="73" t="n">
        <f aca="false">N66*5000</f>
        <v>250000</v>
      </c>
      <c r="AA66" s="73" t="n">
        <v>1800000</v>
      </c>
      <c r="AB66" s="45" t="s">
        <v>42</v>
      </c>
      <c r="AC66" s="47" t="n">
        <v>45291</v>
      </c>
      <c r="AD66" s="45" t="n">
        <v>1</v>
      </c>
      <c r="AE66" s="45"/>
      <c r="AF66" s="45" t="s">
        <v>411</v>
      </c>
      <c r="AG66" s="73" t="n">
        <v>1800000</v>
      </c>
      <c r="AH66" s="45" t="n">
        <v>0</v>
      </c>
      <c r="AI66" s="45" t="s">
        <v>375</v>
      </c>
      <c r="AJ66" s="45" t="s">
        <v>375</v>
      </c>
      <c r="AK66" s="47" t="n">
        <v>45253</v>
      </c>
      <c r="AL66" s="48" t="n">
        <v>0.87</v>
      </c>
      <c r="AM66" s="45"/>
      <c r="AN66" s="45"/>
      <c r="AO66" s="45"/>
      <c r="AP66" s="45"/>
      <c r="AQ66" s="45" t="s">
        <v>117</v>
      </c>
      <c r="AR66" s="45" t="s">
        <v>117</v>
      </c>
      <c r="AS66" s="45" t="s">
        <v>313</v>
      </c>
      <c r="AT66" s="45" t="n">
        <v>6</v>
      </c>
      <c r="AU66" s="78"/>
      <c r="AV66" s="45"/>
      <c r="AW66" s="45" t="n">
        <v>6</v>
      </c>
      <c r="AX66" s="45"/>
      <c r="AY66" s="45"/>
      <c r="AZ66" s="45"/>
      <c r="BA66" s="45"/>
      <c r="BB66" s="45"/>
      <c r="BC66" s="79"/>
    </row>
    <row r="67" customFormat="false" ht="28.35" hidden="false" customHeight="false" outlineLevel="0" collapsed="false">
      <c r="A67" s="45" t="s">
        <v>29</v>
      </c>
      <c r="B67" s="45" t="s">
        <v>4</v>
      </c>
      <c r="C67" s="45" t="s">
        <v>30</v>
      </c>
      <c r="D67" s="45" t="s">
        <v>61</v>
      </c>
      <c r="E67" s="45" t="s">
        <v>32</v>
      </c>
      <c r="F67" s="45"/>
      <c r="G67" s="45" t="s">
        <v>33</v>
      </c>
      <c r="H67" s="45" t="s">
        <v>47</v>
      </c>
      <c r="I67" s="45" t="s">
        <v>62</v>
      </c>
      <c r="J67" s="45" t="s">
        <v>182</v>
      </c>
      <c r="K67" s="45" t="s">
        <v>64</v>
      </c>
      <c r="L67" s="45" t="s">
        <v>65</v>
      </c>
      <c r="M67" s="45" t="n">
        <v>2021</v>
      </c>
      <c r="N67" s="45" t="n">
        <v>25</v>
      </c>
      <c r="O67" s="45" t="n">
        <v>25</v>
      </c>
      <c r="P67" s="46" t="n">
        <v>41700</v>
      </c>
      <c r="Q67" s="46" t="n">
        <v>41700</v>
      </c>
      <c r="R67" s="45" t="s">
        <v>39</v>
      </c>
      <c r="S67" s="45" t="s">
        <v>40</v>
      </c>
      <c r="T67" s="45" t="s">
        <v>41</v>
      </c>
      <c r="U67" s="73" t="n">
        <v>796100</v>
      </c>
      <c r="V67" s="73" t="n">
        <f aca="false">N67*1668*8</f>
        <v>333600</v>
      </c>
      <c r="W67" s="73" t="n">
        <f aca="false">N67*6500</f>
        <v>162500</v>
      </c>
      <c r="X67" s="73" t="n">
        <v>546100</v>
      </c>
      <c r="Y67" s="73" t="n">
        <f aca="false">N67*5000</f>
        <v>125000</v>
      </c>
      <c r="Z67" s="73" t="n">
        <f aca="false">N67*5000</f>
        <v>125000</v>
      </c>
      <c r="AA67" s="73" t="n">
        <v>796100</v>
      </c>
      <c r="AB67" s="45" t="s">
        <v>42</v>
      </c>
      <c r="AC67" s="47" t="n">
        <v>45291</v>
      </c>
      <c r="AD67" s="45" t="n">
        <v>1</v>
      </c>
      <c r="AE67" s="45"/>
      <c r="AF67" s="45" t="s">
        <v>411</v>
      </c>
      <c r="AG67" s="73" t="n">
        <v>796100</v>
      </c>
      <c r="AH67" s="45" t="n">
        <v>0</v>
      </c>
      <c r="AI67" s="45" t="s">
        <v>375</v>
      </c>
      <c r="AJ67" s="45" t="s">
        <v>375</v>
      </c>
      <c r="AK67" s="47" t="n">
        <v>45251</v>
      </c>
      <c r="AL67" s="48" t="n">
        <v>0.8959</v>
      </c>
      <c r="AM67" s="45"/>
      <c r="AN67" s="45"/>
      <c r="AO67" s="45"/>
      <c r="AP67" s="45"/>
      <c r="AQ67" s="45" t="s">
        <v>117</v>
      </c>
      <c r="AR67" s="45" t="s">
        <v>117</v>
      </c>
      <c r="AS67" s="45" t="s">
        <v>313</v>
      </c>
      <c r="AT67" s="45" t="n">
        <v>3</v>
      </c>
      <c r="AU67" s="78"/>
      <c r="AV67" s="45"/>
      <c r="AW67" s="45" t="n">
        <v>3</v>
      </c>
      <c r="AX67" s="45"/>
      <c r="AY67" s="45"/>
      <c r="AZ67" s="45"/>
      <c r="BA67" s="45"/>
      <c r="BB67" s="45"/>
      <c r="BC67" s="79"/>
    </row>
    <row r="68" customFormat="false" ht="28.35" hidden="false" customHeight="false" outlineLevel="0" collapsed="false">
      <c r="A68" s="45" t="s">
        <v>29</v>
      </c>
      <c r="B68" s="45" t="s">
        <v>4</v>
      </c>
      <c r="C68" s="45" t="s">
        <v>30</v>
      </c>
      <c r="D68" s="45" t="s">
        <v>66</v>
      </c>
      <c r="E68" s="45" t="s">
        <v>67</v>
      </c>
      <c r="F68" s="45"/>
      <c r="G68" s="45" t="s">
        <v>33</v>
      </c>
      <c r="H68" s="45" t="s">
        <v>47</v>
      </c>
      <c r="I68" s="45" t="s">
        <v>68</v>
      </c>
      <c r="J68" s="45" t="s">
        <v>174</v>
      </c>
      <c r="K68" s="45" t="s">
        <v>70</v>
      </c>
      <c r="L68" s="45" t="s">
        <v>71</v>
      </c>
      <c r="M68" s="45" t="n">
        <v>2021</v>
      </c>
      <c r="N68" s="45" t="n">
        <v>30</v>
      </c>
      <c r="O68" s="45" t="n">
        <v>30</v>
      </c>
      <c r="P68" s="46" t="n">
        <v>50040</v>
      </c>
      <c r="Q68" s="46" t="n">
        <v>50040</v>
      </c>
      <c r="R68" s="45" t="s">
        <v>39</v>
      </c>
      <c r="S68" s="45" t="s">
        <v>40</v>
      </c>
      <c r="T68" s="45" t="s">
        <v>41</v>
      </c>
      <c r="U68" s="73" t="n">
        <v>955320</v>
      </c>
      <c r="V68" s="73" t="n">
        <f aca="false">N68*1668*8</f>
        <v>400320</v>
      </c>
      <c r="W68" s="73" t="n">
        <f aca="false">N68*6500</f>
        <v>195000</v>
      </c>
      <c r="X68" s="73" t="n">
        <v>655320</v>
      </c>
      <c r="Y68" s="73" t="n">
        <f aca="false">N68*5000</f>
        <v>150000</v>
      </c>
      <c r="Z68" s="73" t="n">
        <f aca="false">N68*5000</f>
        <v>150000</v>
      </c>
      <c r="AA68" s="73" t="n">
        <v>955320</v>
      </c>
      <c r="AB68" s="45" t="s">
        <v>42</v>
      </c>
      <c r="AC68" s="47" t="n">
        <v>45291</v>
      </c>
      <c r="AD68" s="45" t="n">
        <v>1</v>
      </c>
      <c r="AE68" s="45"/>
      <c r="AF68" s="45" t="s">
        <v>411</v>
      </c>
      <c r="AG68" s="73" t="n">
        <v>955320</v>
      </c>
      <c r="AH68" s="45" t="n">
        <v>0</v>
      </c>
      <c r="AI68" s="45" t="s">
        <v>375</v>
      </c>
      <c r="AJ68" s="45" t="s">
        <v>375</v>
      </c>
      <c r="AK68" s="47" t="n">
        <v>45259</v>
      </c>
      <c r="AL68" s="48" t="n">
        <v>0.889</v>
      </c>
      <c r="AM68" s="45"/>
      <c r="AN68" s="45"/>
      <c r="AO68" s="45"/>
      <c r="AP68" s="45"/>
      <c r="AQ68" s="45" t="s">
        <v>117</v>
      </c>
      <c r="AR68" s="45" t="s">
        <v>117</v>
      </c>
      <c r="AS68" s="45" t="s">
        <v>313</v>
      </c>
      <c r="AT68" s="45" t="n">
        <v>4</v>
      </c>
      <c r="AU68" s="78"/>
      <c r="AV68" s="45"/>
      <c r="AW68" s="45" t="n">
        <v>4</v>
      </c>
      <c r="AX68" s="45"/>
      <c r="AY68" s="45"/>
      <c r="AZ68" s="45"/>
      <c r="BA68" s="45"/>
      <c r="BB68" s="45"/>
      <c r="BC68" s="79"/>
    </row>
    <row r="69" customFormat="false" ht="28.35" hidden="false" customHeight="false" outlineLevel="0" collapsed="false">
      <c r="A69" s="45" t="s">
        <v>29</v>
      </c>
      <c r="B69" s="45" t="s">
        <v>4</v>
      </c>
      <c r="C69" s="45" t="s">
        <v>30</v>
      </c>
      <c r="D69" s="45" t="s">
        <v>72</v>
      </c>
      <c r="E69" s="45" t="s">
        <v>73</v>
      </c>
      <c r="F69" s="45"/>
      <c r="G69" s="45" t="s">
        <v>33</v>
      </c>
      <c r="H69" s="45" t="s">
        <v>47</v>
      </c>
      <c r="I69" s="45" t="s">
        <v>74</v>
      </c>
      <c r="J69" s="45" t="s">
        <v>75</v>
      </c>
      <c r="K69" s="45" t="s">
        <v>76</v>
      </c>
      <c r="L69" s="45" t="s">
        <v>77</v>
      </c>
      <c r="M69" s="45" t="n">
        <v>2021</v>
      </c>
      <c r="N69" s="45" t="n">
        <v>25</v>
      </c>
      <c r="O69" s="45" t="n">
        <v>25</v>
      </c>
      <c r="P69" s="46" t="n">
        <v>12500</v>
      </c>
      <c r="Q69" s="46" t="n">
        <v>12500</v>
      </c>
      <c r="R69" s="45" t="s">
        <v>52</v>
      </c>
      <c r="S69" s="45" t="s">
        <v>53</v>
      </c>
      <c r="T69" s="45" t="s">
        <v>60</v>
      </c>
      <c r="U69" s="73" t="n">
        <v>900000</v>
      </c>
      <c r="V69" s="73" t="n">
        <f aca="false">N69*500*35</f>
        <v>437500</v>
      </c>
      <c r="W69" s="73" t="n">
        <f aca="false">N69*6500</f>
        <v>162500</v>
      </c>
      <c r="X69" s="73" t="n">
        <v>650000</v>
      </c>
      <c r="Y69" s="73" t="n">
        <f aca="false">N69*5000</f>
        <v>125000</v>
      </c>
      <c r="Z69" s="73" t="n">
        <f aca="false">N69*5000</f>
        <v>125000</v>
      </c>
      <c r="AA69" s="73" t="n">
        <v>900000</v>
      </c>
      <c r="AB69" s="45" t="s">
        <v>42</v>
      </c>
      <c r="AC69" s="47" t="n">
        <v>45291</v>
      </c>
      <c r="AD69" s="45" t="n">
        <v>1</v>
      </c>
      <c r="AE69" s="45"/>
      <c r="AF69" s="45" t="s">
        <v>411</v>
      </c>
      <c r="AG69" s="73" t="n">
        <v>900000</v>
      </c>
      <c r="AH69" s="45" t="n">
        <v>0</v>
      </c>
      <c r="AI69" s="45" t="s">
        <v>375</v>
      </c>
      <c r="AJ69" s="45" t="s">
        <v>375</v>
      </c>
      <c r="AK69" s="47" t="n">
        <v>45252</v>
      </c>
      <c r="AL69" s="48" t="n">
        <v>0.865</v>
      </c>
      <c r="AM69" s="45"/>
      <c r="AN69" s="45"/>
      <c r="AO69" s="45"/>
      <c r="AP69" s="45"/>
      <c r="AQ69" s="45" t="s">
        <v>117</v>
      </c>
      <c r="AR69" s="45" t="s">
        <v>117</v>
      </c>
      <c r="AS69" s="45" t="s">
        <v>313</v>
      </c>
      <c r="AT69" s="45" t="n">
        <v>3</v>
      </c>
      <c r="AU69" s="78"/>
      <c r="AV69" s="45"/>
      <c r="AW69" s="45" t="n">
        <v>3</v>
      </c>
      <c r="AX69" s="45"/>
      <c r="AY69" s="45"/>
      <c r="AZ69" s="45"/>
      <c r="BA69" s="45"/>
      <c r="BB69" s="45"/>
      <c r="BC69" s="79"/>
    </row>
    <row r="70" customFormat="false" ht="28.35" hidden="false" customHeight="false" outlineLevel="0" collapsed="false">
      <c r="A70" s="45" t="s">
        <v>29</v>
      </c>
      <c r="B70" s="45" t="s">
        <v>4</v>
      </c>
      <c r="C70" s="45" t="s">
        <v>30</v>
      </c>
      <c r="D70" s="45" t="s">
        <v>78</v>
      </c>
      <c r="E70" s="45" t="s">
        <v>79</v>
      </c>
      <c r="F70" s="45"/>
      <c r="G70" s="45" t="s">
        <v>80</v>
      </c>
      <c r="H70" s="45" t="s">
        <v>47</v>
      </c>
      <c r="I70" s="45" t="s">
        <v>81</v>
      </c>
      <c r="J70" s="45" t="s">
        <v>82</v>
      </c>
      <c r="K70" s="45" t="s">
        <v>83</v>
      </c>
      <c r="L70" s="45" t="s">
        <v>84</v>
      </c>
      <c r="M70" s="45" t="n">
        <v>2021</v>
      </c>
      <c r="N70" s="45" t="n">
        <v>29</v>
      </c>
      <c r="O70" s="45" t="n">
        <v>29</v>
      </c>
      <c r="P70" s="46" t="n">
        <v>48372</v>
      </c>
      <c r="Q70" s="46" t="n">
        <v>48372</v>
      </c>
      <c r="R70" s="45" t="s">
        <v>39</v>
      </c>
      <c r="S70" s="45" t="s">
        <v>40</v>
      </c>
      <c r="T70" s="45" t="s">
        <v>41</v>
      </c>
      <c r="U70" s="73" t="n">
        <v>923476</v>
      </c>
      <c r="V70" s="73" t="n">
        <f aca="false">N70*1668*8</f>
        <v>386976</v>
      </c>
      <c r="W70" s="73" t="n">
        <f aca="false">N70*6500</f>
        <v>188500</v>
      </c>
      <c r="X70" s="73" t="n">
        <v>633476</v>
      </c>
      <c r="Y70" s="73" t="n">
        <f aca="false">N70*5000</f>
        <v>145000</v>
      </c>
      <c r="Z70" s="73" t="n">
        <f aca="false">N70*5000</f>
        <v>145000</v>
      </c>
      <c r="AA70" s="73" t="n">
        <v>923476</v>
      </c>
      <c r="AB70" s="45" t="s">
        <v>42</v>
      </c>
      <c r="AC70" s="47" t="n">
        <v>45291</v>
      </c>
      <c r="AD70" s="45" t="n">
        <v>1</v>
      </c>
      <c r="AE70" s="45"/>
      <c r="AF70" s="45" t="s">
        <v>411</v>
      </c>
      <c r="AG70" s="73" t="n">
        <v>778476</v>
      </c>
      <c r="AH70" s="45" t="n">
        <v>0</v>
      </c>
      <c r="AI70" s="45" t="s">
        <v>375</v>
      </c>
      <c r="AJ70" s="45" t="s">
        <v>375</v>
      </c>
      <c r="AK70" s="81" t="n">
        <v>45267</v>
      </c>
      <c r="AL70" s="48" t="n">
        <v>0.8704</v>
      </c>
      <c r="AM70" s="45"/>
      <c r="AN70" s="45"/>
      <c r="AO70" s="45"/>
      <c r="AP70" s="45"/>
      <c r="AQ70" s="45" t="s">
        <v>117</v>
      </c>
      <c r="AR70" s="45" t="s">
        <v>117</v>
      </c>
      <c r="AS70" s="45" t="s">
        <v>313</v>
      </c>
      <c r="AT70" s="45" t="n">
        <v>4</v>
      </c>
      <c r="AU70" s="78"/>
      <c r="AV70" s="45"/>
      <c r="AW70" s="45" t="n">
        <v>4</v>
      </c>
      <c r="AX70" s="45"/>
      <c r="AY70" s="45"/>
      <c r="AZ70" s="45"/>
      <c r="BA70" s="45"/>
      <c r="BB70" s="45"/>
      <c r="BC70" s="79"/>
    </row>
    <row r="71" customFormat="false" ht="28.35" hidden="false" customHeight="false" outlineLevel="0" collapsed="false">
      <c r="A71" s="45" t="s">
        <v>29</v>
      </c>
      <c r="B71" s="45" t="s">
        <v>4</v>
      </c>
      <c r="C71" s="45" t="s">
        <v>30</v>
      </c>
      <c r="D71" s="45" t="s">
        <v>85</v>
      </c>
      <c r="E71" s="45" t="s">
        <v>73</v>
      </c>
      <c r="F71" s="45"/>
      <c r="G71" s="45" t="s">
        <v>33</v>
      </c>
      <c r="H71" s="45" t="s">
        <v>47</v>
      </c>
      <c r="I71" s="45" t="s">
        <v>86</v>
      </c>
      <c r="J71" s="45" t="s">
        <v>87</v>
      </c>
      <c r="K71" s="45" t="s">
        <v>88</v>
      </c>
      <c r="L71" s="45" t="s">
        <v>89</v>
      </c>
      <c r="M71" s="45" t="n">
        <v>2021</v>
      </c>
      <c r="N71" s="45" t="n">
        <v>25</v>
      </c>
      <c r="O71" s="45" t="n">
        <v>25</v>
      </c>
      <c r="P71" s="46" t="n">
        <v>41700</v>
      </c>
      <c r="Q71" s="46" t="n">
        <v>41700</v>
      </c>
      <c r="R71" s="45" t="s">
        <v>39</v>
      </c>
      <c r="S71" s="45" t="s">
        <v>40</v>
      </c>
      <c r="T71" s="45" t="s">
        <v>41</v>
      </c>
      <c r="U71" s="73" t="n">
        <v>796100</v>
      </c>
      <c r="V71" s="73" t="n">
        <f aca="false">N71*1668*8</f>
        <v>333600</v>
      </c>
      <c r="W71" s="73" t="n">
        <f aca="false">N71*6500</f>
        <v>162500</v>
      </c>
      <c r="X71" s="73" t="n">
        <v>546100</v>
      </c>
      <c r="Y71" s="73" t="n">
        <f aca="false">N71*5000</f>
        <v>125000</v>
      </c>
      <c r="Z71" s="73" t="n">
        <f aca="false">N71*5000</f>
        <v>125000</v>
      </c>
      <c r="AA71" s="73" t="n">
        <v>796100</v>
      </c>
      <c r="AB71" s="45" t="s">
        <v>42</v>
      </c>
      <c r="AC71" s="47" t="n">
        <v>45291</v>
      </c>
      <c r="AD71" s="45" t="n">
        <v>1</v>
      </c>
      <c r="AE71" s="45"/>
      <c r="AF71" s="45" t="s">
        <v>411</v>
      </c>
      <c r="AG71" s="73" t="n">
        <v>796100</v>
      </c>
      <c r="AH71" s="45" t="n">
        <v>0</v>
      </c>
      <c r="AI71" s="45" t="s">
        <v>375</v>
      </c>
      <c r="AJ71" s="45" t="s">
        <v>375</v>
      </c>
      <c r="AK71" s="47" t="n">
        <v>45251</v>
      </c>
      <c r="AL71" s="48" t="n">
        <v>0.89</v>
      </c>
      <c r="AM71" s="45"/>
      <c r="AN71" s="45"/>
      <c r="AO71" s="45"/>
      <c r="AP71" s="45"/>
      <c r="AQ71" s="45" t="s">
        <v>117</v>
      </c>
      <c r="AR71" s="45" t="s">
        <v>117</v>
      </c>
      <c r="AS71" s="45" t="s">
        <v>313</v>
      </c>
      <c r="AT71" s="45" t="n">
        <v>3</v>
      </c>
      <c r="AU71" s="78"/>
      <c r="AV71" s="45"/>
      <c r="AW71" s="45" t="n">
        <v>3</v>
      </c>
      <c r="AX71" s="45"/>
      <c r="AY71" s="45"/>
      <c r="AZ71" s="45"/>
      <c r="BA71" s="45"/>
      <c r="BB71" s="45"/>
      <c r="BC71" s="79"/>
    </row>
    <row r="72" customFormat="false" ht="108.95" hidden="false" customHeight="false" outlineLevel="0" collapsed="false">
      <c r="A72" s="45" t="s">
        <v>29</v>
      </c>
      <c r="B72" s="45" t="s">
        <v>4</v>
      </c>
      <c r="C72" s="45" t="s">
        <v>30</v>
      </c>
      <c r="D72" s="45" t="s">
        <v>55</v>
      </c>
      <c r="E72" s="45" t="s">
        <v>32</v>
      </c>
      <c r="F72" s="45" t="s">
        <v>90</v>
      </c>
      <c r="G72" s="45" t="s">
        <v>33</v>
      </c>
      <c r="H72" s="45" t="s">
        <v>34</v>
      </c>
      <c r="I72" s="45" t="s">
        <v>91</v>
      </c>
      <c r="J72" s="45" t="s">
        <v>147</v>
      </c>
      <c r="K72" s="45" t="s">
        <v>58</v>
      </c>
      <c r="L72" s="45" t="s">
        <v>92</v>
      </c>
      <c r="M72" s="45" t="n">
        <v>2022</v>
      </c>
      <c r="N72" s="45" t="n">
        <v>20</v>
      </c>
      <c r="O72" s="45" t="n">
        <v>20</v>
      </c>
      <c r="P72" s="46" t="n">
        <v>10000</v>
      </c>
      <c r="Q72" s="46" t="n">
        <v>10000</v>
      </c>
      <c r="R72" s="45" t="s">
        <v>52</v>
      </c>
      <c r="S72" s="45" t="s">
        <v>93</v>
      </c>
      <c r="T72" s="45" t="s">
        <v>94</v>
      </c>
      <c r="U72" s="73" t="n">
        <v>520000</v>
      </c>
      <c r="V72" s="73" t="n">
        <f aca="false">N72*500*35</f>
        <v>350000</v>
      </c>
      <c r="W72" s="73" t="n">
        <f aca="false">N72*6500</f>
        <v>130000</v>
      </c>
      <c r="X72" s="45"/>
      <c r="Y72" s="73" t="n">
        <f aca="false">N72*5000</f>
        <v>100000</v>
      </c>
      <c r="Z72" s="45" t="n">
        <f aca="false">N73*6000</f>
        <v>228000</v>
      </c>
      <c r="AA72" s="73" t="n">
        <v>520000</v>
      </c>
      <c r="AB72" s="76" t="n">
        <v>44645</v>
      </c>
      <c r="AC72" s="47" t="n">
        <v>45657</v>
      </c>
      <c r="AD72" s="45" t="n">
        <v>1</v>
      </c>
      <c r="AE72" s="45"/>
      <c r="AF72" s="45" t="s">
        <v>411</v>
      </c>
      <c r="AG72" s="73" t="n">
        <v>520000</v>
      </c>
      <c r="AH72" s="45" t="n">
        <v>0</v>
      </c>
      <c r="AI72" s="45" t="s">
        <v>375</v>
      </c>
      <c r="AJ72" s="45" t="s">
        <v>375</v>
      </c>
      <c r="AK72" s="47" t="n">
        <v>45254</v>
      </c>
      <c r="AL72" s="48" t="n">
        <v>0.884</v>
      </c>
      <c r="AM72" s="45" t="n">
        <v>2</v>
      </c>
      <c r="AN72" s="45" t="s">
        <v>431</v>
      </c>
      <c r="AO72" s="45"/>
      <c r="AP72" s="45"/>
      <c r="AQ72" s="45" t="s">
        <v>117</v>
      </c>
      <c r="AR72" s="45" t="s">
        <v>117</v>
      </c>
      <c r="AS72" s="45" t="s">
        <v>313</v>
      </c>
      <c r="AT72" s="45" t="n">
        <v>3</v>
      </c>
      <c r="AU72" s="78"/>
      <c r="AV72" s="45"/>
      <c r="AW72" s="45" t="n">
        <v>3</v>
      </c>
      <c r="AX72" s="45"/>
      <c r="AY72" s="45"/>
      <c r="AZ72" s="45"/>
      <c r="BA72" s="45"/>
      <c r="BB72" s="45"/>
      <c r="BC72" s="79"/>
    </row>
    <row r="73" customFormat="false" ht="28.35" hidden="false" customHeight="false" outlineLevel="0" collapsed="false">
      <c r="A73" s="45" t="s">
        <v>29</v>
      </c>
      <c r="B73" s="45" t="s">
        <v>4</v>
      </c>
      <c r="C73" s="45" t="s">
        <v>30</v>
      </c>
      <c r="D73" s="45" t="s">
        <v>61</v>
      </c>
      <c r="E73" s="45" t="s">
        <v>32</v>
      </c>
      <c r="F73" s="45" t="s">
        <v>90</v>
      </c>
      <c r="G73" s="45" t="s">
        <v>33</v>
      </c>
      <c r="H73" s="45" t="s">
        <v>47</v>
      </c>
      <c r="I73" s="45" t="s">
        <v>95</v>
      </c>
      <c r="J73" s="45" t="s">
        <v>182</v>
      </c>
      <c r="K73" s="45" t="s">
        <v>64</v>
      </c>
      <c r="L73" s="45" t="s">
        <v>96</v>
      </c>
      <c r="M73" s="45" t="n">
        <v>2022</v>
      </c>
      <c r="N73" s="45" t="n">
        <v>38</v>
      </c>
      <c r="O73" s="45" t="n">
        <v>38</v>
      </c>
      <c r="P73" s="46" t="n">
        <v>19000</v>
      </c>
      <c r="Q73" s="46" t="n">
        <v>19000</v>
      </c>
      <c r="R73" s="45" t="s">
        <v>52</v>
      </c>
      <c r="S73" s="45" t="s">
        <v>93</v>
      </c>
      <c r="T73" s="45" t="s">
        <v>94</v>
      </c>
      <c r="U73" s="73" t="n">
        <v>988000</v>
      </c>
      <c r="V73" s="73" t="n">
        <f aca="false">N73*500*35</f>
        <v>665000</v>
      </c>
      <c r="W73" s="73" t="n">
        <f aca="false">N73*6500</f>
        <v>247000</v>
      </c>
      <c r="X73" s="45"/>
      <c r="Y73" s="73" t="n">
        <f aca="false">N73*5000</f>
        <v>190000</v>
      </c>
      <c r="Z73" s="45" t="n">
        <f aca="false">N74*6000</f>
        <v>60000</v>
      </c>
      <c r="AA73" s="73" t="n">
        <v>988000</v>
      </c>
      <c r="AB73" s="76" t="n">
        <v>44645</v>
      </c>
      <c r="AC73" s="47" t="n">
        <v>45657</v>
      </c>
      <c r="AD73" s="45" t="n">
        <v>1</v>
      </c>
      <c r="AE73" s="45"/>
      <c r="AF73" s="45" t="s">
        <v>411</v>
      </c>
      <c r="AG73" s="73" t="n">
        <v>988000</v>
      </c>
      <c r="AH73" s="45" t="n">
        <v>0</v>
      </c>
      <c r="AI73" s="45" t="s">
        <v>375</v>
      </c>
      <c r="AJ73" s="45" t="s">
        <v>375</v>
      </c>
      <c r="AK73" s="47" t="n">
        <v>45252</v>
      </c>
      <c r="AL73" s="48" t="n">
        <v>0.9</v>
      </c>
      <c r="AM73" s="45"/>
      <c r="AN73" s="45"/>
      <c r="AO73" s="45"/>
      <c r="AP73" s="45"/>
      <c r="AQ73" s="45" t="s">
        <v>117</v>
      </c>
      <c r="AR73" s="45" t="s">
        <v>117</v>
      </c>
      <c r="AS73" s="45" t="s">
        <v>313</v>
      </c>
      <c r="AT73" s="45" t="n">
        <v>5</v>
      </c>
      <c r="AU73" s="78"/>
      <c r="AV73" s="45"/>
      <c r="AW73" s="45" t="n">
        <v>5</v>
      </c>
      <c r="AX73" s="45"/>
      <c r="AY73" s="45"/>
      <c r="AZ73" s="45"/>
      <c r="BA73" s="45"/>
      <c r="BB73" s="45"/>
      <c r="BC73" s="79"/>
    </row>
    <row r="74" customFormat="false" ht="28.35" hidden="false" customHeight="false" outlineLevel="0" collapsed="false">
      <c r="A74" s="45" t="s">
        <v>29</v>
      </c>
      <c r="B74" s="45" t="s">
        <v>4</v>
      </c>
      <c r="C74" s="45" t="s">
        <v>30</v>
      </c>
      <c r="D74" s="45" t="s">
        <v>97</v>
      </c>
      <c r="E74" s="45" t="s">
        <v>79</v>
      </c>
      <c r="F74" s="45" t="s">
        <v>90</v>
      </c>
      <c r="G74" s="45" t="s">
        <v>80</v>
      </c>
      <c r="H74" s="45" t="s">
        <v>47</v>
      </c>
      <c r="I74" s="45" t="s">
        <v>98</v>
      </c>
      <c r="J74" s="45" t="s">
        <v>168</v>
      </c>
      <c r="K74" s="45" t="s">
        <v>100</v>
      </c>
      <c r="L74" s="45" t="s">
        <v>101</v>
      </c>
      <c r="M74" s="45" t="n">
        <v>2022</v>
      </c>
      <c r="N74" s="45" t="n">
        <v>10</v>
      </c>
      <c r="O74" s="45" t="n">
        <v>10</v>
      </c>
      <c r="P74" s="46" t="n">
        <v>5000</v>
      </c>
      <c r="Q74" s="46" t="n">
        <v>5000</v>
      </c>
      <c r="R74" s="45" t="s">
        <v>52</v>
      </c>
      <c r="S74" s="45" t="s">
        <v>93</v>
      </c>
      <c r="T74" s="45" t="s">
        <v>94</v>
      </c>
      <c r="U74" s="73" t="n">
        <v>260000</v>
      </c>
      <c r="V74" s="73" t="n">
        <f aca="false">N74*500*35</f>
        <v>175000</v>
      </c>
      <c r="W74" s="73" t="n">
        <f aca="false">N74*6500</f>
        <v>65000</v>
      </c>
      <c r="X74" s="45"/>
      <c r="Y74" s="73" t="n">
        <f aca="false">N74*5000</f>
        <v>50000</v>
      </c>
      <c r="Z74" s="45" t="n">
        <f aca="false">N75*6000</f>
        <v>60000</v>
      </c>
      <c r="AA74" s="73" t="n">
        <v>260000</v>
      </c>
      <c r="AB74" s="76" t="n">
        <v>44645</v>
      </c>
      <c r="AC74" s="47" t="n">
        <v>45657</v>
      </c>
      <c r="AD74" s="45" t="n">
        <v>1</v>
      </c>
      <c r="AE74" s="45"/>
      <c r="AF74" s="45" t="s">
        <v>411</v>
      </c>
      <c r="AG74" s="73" t="n">
        <v>310000</v>
      </c>
      <c r="AH74" s="45" t="n">
        <v>0</v>
      </c>
      <c r="AI74" s="45" t="s">
        <v>375</v>
      </c>
      <c r="AJ74" s="45" t="s">
        <v>375</v>
      </c>
      <c r="AK74" s="47" t="n">
        <v>45253</v>
      </c>
      <c r="AL74" s="48" t="n">
        <v>0.8778</v>
      </c>
      <c r="AM74" s="45"/>
      <c r="AN74" s="45"/>
      <c r="AO74" s="45"/>
      <c r="AP74" s="45"/>
      <c r="AQ74" s="45" t="s">
        <v>117</v>
      </c>
      <c r="AR74" s="45" t="s">
        <v>117</v>
      </c>
      <c r="AS74" s="45" t="s">
        <v>313</v>
      </c>
      <c r="AT74" s="45" t="n">
        <v>2</v>
      </c>
      <c r="AU74" s="78"/>
      <c r="AV74" s="45"/>
      <c r="AW74" s="45" t="n">
        <v>2</v>
      </c>
      <c r="AX74" s="45"/>
      <c r="AY74" s="45"/>
      <c r="AZ74" s="45"/>
      <c r="BA74" s="45"/>
      <c r="BB74" s="45"/>
      <c r="BC74" s="79"/>
    </row>
    <row r="75" customFormat="false" ht="28.35" hidden="false" customHeight="false" outlineLevel="0" collapsed="false">
      <c r="A75" s="45" t="s">
        <v>29</v>
      </c>
      <c r="B75" s="45" t="s">
        <v>4</v>
      </c>
      <c r="C75" s="45" t="s">
        <v>43</v>
      </c>
      <c r="D75" s="45" t="s">
        <v>44</v>
      </c>
      <c r="E75" s="45" t="s">
        <v>45</v>
      </c>
      <c r="F75" s="45" t="s">
        <v>90</v>
      </c>
      <c r="G75" s="45" t="s">
        <v>80</v>
      </c>
      <c r="H75" s="45" t="s">
        <v>47</v>
      </c>
      <c r="I75" s="45" t="s">
        <v>102</v>
      </c>
      <c r="J75" s="45" t="s">
        <v>49</v>
      </c>
      <c r="K75" s="45" t="s">
        <v>50</v>
      </c>
      <c r="L75" s="45" t="s">
        <v>103</v>
      </c>
      <c r="M75" s="45" t="n">
        <v>2022</v>
      </c>
      <c r="N75" s="45" t="n">
        <v>10</v>
      </c>
      <c r="O75" s="45" t="n">
        <v>10</v>
      </c>
      <c r="P75" s="46" t="n">
        <v>5000</v>
      </c>
      <c r="Q75" s="46" t="n">
        <v>5000</v>
      </c>
      <c r="R75" s="45" t="s">
        <v>52</v>
      </c>
      <c r="S75" s="45" t="s">
        <v>93</v>
      </c>
      <c r="T75" s="45" t="s">
        <v>94</v>
      </c>
      <c r="U75" s="73" t="n">
        <v>260000</v>
      </c>
      <c r="V75" s="73" t="n">
        <f aca="false">N75*500*35</f>
        <v>175000</v>
      </c>
      <c r="W75" s="73" t="n">
        <f aca="false">N75*6500</f>
        <v>65000</v>
      </c>
      <c r="X75" s="45"/>
      <c r="Y75" s="73" t="n">
        <f aca="false">N75*5000</f>
        <v>50000</v>
      </c>
      <c r="Z75" s="45" t="e">
        <f aca="false">#ref!*6000</f>
        <v>#NAME?</v>
      </c>
      <c r="AA75" s="73" t="n">
        <v>260000</v>
      </c>
      <c r="AB75" s="76" t="n">
        <v>44645</v>
      </c>
      <c r="AC75" s="47" t="n">
        <v>45657</v>
      </c>
      <c r="AD75" s="45" t="n">
        <v>1</v>
      </c>
      <c r="AE75" s="45"/>
      <c r="AF75" s="45" t="s">
        <v>411</v>
      </c>
      <c r="AG75" s="73" t="n">
        <v>260000</v>
      </c>
      <c r="AH75" s="45" t="n">
        <v>0</v>
      </c>
      <c r="AI75" s="45" t="s">
        <v>375</v>
      </c>
      <c r="AJ75" s="45" t="s">
        <v>375</v>
      </c>
      <c r="AK75" s="47" t="n">
        <v>45259</v>
      </c>
      <c r="AL75" s="48" t="n">
        <v>0.896</v>
      </c>
      <c r="AM75" s="45"/>
      <c r="AN75" s="45"/>
      <c r="AO75" s="45"/>
      <c r="AP75" s="45"/>
      <c r="AQ75" s="45" t="s">
        <v>117</v>
      </c>
      <c r="AR75" s="45" t="s">
        <v>117</v>
      </c>
      <c r="AS75" s="45" t="s">
        <v>313</v>
      </c>
      <c r="AT75" s="45" t="n">
        <v>2</v>
      </c>
      <c r="AU75" s="78"/>
      <c r="AV75" s="45"/>
      <c r="AW75" s="45" t="n">
        <v>2</v>
      </c>
      <c r="AX75" s="45"/>
      <c r="AY75" s="45"/>
      <c r="AZ75" s="45"/>
      <c r="BA75" s="45"/>
      <c r="BB75" s="45"/>
      <c r="BC75" s="79"/>
    </row>
    <row r="76" customFormat="false" ht="15.75" hidden="false" customHeight="false" outlineLevel="0" collapsed="false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3"/>
      <c r="W76" s="83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</row>
    <row r="77" customFormat="false" ht="15.75" hidden="false" customHeight="false" outlineLevel="0" collapsed="false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3"/>
      <c r="W77" s="83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</row>
    <row r="78" customFormat="false" ht="15.75" hidden="false" customHeight="false" outlineLevel="0" collapsed="false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3"/>
      <c r="W78" s="83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</row>
    <row r="79" customFormat="false" ht="15.75" hidden="false" customHeight="false" outlineLevel="0" collapsed="false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3"/>
      <c r="W79" s="83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</row>
    <row r="80" customFormat="false" ht="15.75" hidden="false" customHeight="false" outlineLevel="0" collapsed="false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3"/>
      <c r="W80" s="83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</row>
    <row r="81" customFormat="false" ht="15.75" hidden="false" customHeight="false" outlineLevel="0" collapsed="false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3"/>
      <c r="W81" s="83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</row>
    <row r="82" customFormat="false" ht="15.75" hidden="false" customHeight="false" outlineLevel="0" collapsed="false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3"/>
      <c r="W82" s="83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</row>
    <row r="83" customFormat="false" ht="15.75" hidden="false" customHeight="false" outlineLevel="0" collapsed="false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3"/>
      <c r="W83" s="83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  <c r="BB83" s="82"/>
      <c r="BC83" s="82"/>
    </row>
    <row r="84" customFormat="false" ht="15.75" hidden="false" customHeight="false" outlineLevel="0" collapsed="false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3"/>
      <c r="W84" s="83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</row>
    <row r="85" customFormat="false" ht="15.75" hidden="false" customHeight="false" outlineLevel="0" collapsed="false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3"/>
      <c r="W85" s="83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</row>
    <row r="86" customFormat="false" ht="15.75" hidden="false" customHeight="false" outlineLevel="0" collapsed="false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3"/>
      <c r="W86" s="83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</row>
    <row r="87" customFormat="false" ht="15.75" hidden="false" customHeight="false" outlineLevel="0" collapsed="false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3"/>
      <c r="W87" s="83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</row>
    <row r="88" customFormat="false" ht="15.75" hidden="false" customHeight="false" outlineLevel="0" collapsed="false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3"/>
      <c r="W88" s="83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</row>
    <row r="89" customFormat="false" ht="15.75" hidden="false" customHeight="false" outlineLevel="0" collapsed="false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3"/>
      <c r="W89" s="83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</row>
    <row r="90" customFormat="false" ht="15.75" hidden="false" customHeight="false" outlineLevel="0" collapsed="false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3"/>
      <c r="W90" s="83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</row>
    <row r="91" customFormat="false" ht="15.75" hidden="false" customHeight="false" outlineLevel="0" collapsed="false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3"/>
      <c r="W91" s="83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</row>
    <row r="92" customFormat="false" ht="15.75" hidden="false" customHeight="false" outlineLevel="0" collapsed="false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3"/>
      <c r="W92" s="83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</row>
    <row r="93" customFormat="false" ht="15.75" hidden="false" customHeight="false" outlineLevel="0" collapsed="false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3"/>
      <c r="W93" s="83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</row>
    <row r="94" customFormat="false" ht="15.75" hidden="false" customHeight="false" outlineLevel="0" collapsed="false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3"/>
      <c r="W94" s="83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</row>
    <row r="95" customFormat="false" ht="15.75" hidden="false" customHeight="false" outlineLevel="0" collapsed="false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3"/>
      <c r="W95" s="83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</row>
    <row r="96" customFormat="false" ht="15.75" hidden="false" customHeight="false" outlineLevel="0" collapsed="false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3"/>
      <c r="W96" s="83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</row>
    <row r="97" customFormat="false" ht="15.75" hidden="false" customHeight="false" outlineLevel="0" collapsed="false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3"/>
      <c r="W97" s="83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</row>
    <row r="98" customFormat="false" ht="15.75" hidden="false" customHeight="false" outlineLevel="0" collapsed="false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3"/>
      <c r="W98" s="83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</row>
    <row r="99" customFormat="false" ht="15.75" hidden="false" customHeight="false" outlineLevel="0" collapsed="false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3"/>
      <c r="W99" s="83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82"/>
      <c r="BB99" s="82"/>
      <c r="BC99" s="82"/>
    </row>
    <row r="100" customFormat="false" ht="15.75" hidden="false" customHeight="false" outlineLevel="0" collapsed="false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3"/>
      <c r="W100" s="83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</row>
    <row r="101" customFormat="false" ht="15.75" hidden="false" customHeight="false" outlineLevel="0" collapsed="false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3"/>
      <c r="W101" s="83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</row>
    <row r="102" customFormat="false" ht="15.75" hidden="false" customHeight="false" outlineLevel="0" collapsed="false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3"/>
      <c r="W102" s="83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</row>
    <row r="103" customFormat="false" ht="15.75" hidden="false" customHeight="false" outlineLevel="0" collapsed="false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3"/>
      <c r="W103" s="83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  <c r="AU103" s="82"/>
      <c r="AV103" s="82"/>
      <c r="AW103" s="82"/>
      <c r="AX103" s="82"/>
      <c r="AY103" s="82"/>
      <c r="AZ103" s="82"/>
      <c r="BA103" s="82"/>
      <c r="BB103" s="82"/>
      <c r="BC103" s="82"/>
    </row>
    <row r="104" customFormat="false" ht="15.75" hidden="false" customHeight="false" outlineLevel="0" collapsed="false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3"/>
      <c r="W104" s="83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</row>
    <row r="105" customFormat="false" ht="15.75" hidden="false" customHeight="false" outlineLevel="0" collapsed="false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3"/>
      <c r="W105" s="83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  <c r="AU105" s="82"/>
      <c r="AV105" s="82"/>
      <c r="AW105" s="82"/>
      <c r="AX105" s="82"/>
      <c r="AY105" s="82"/>
      <c r="AZ105" s="82"/>
      <c r="BA105" s="82"/>
      <c r="BB105" s="82"/>
      <c r="BC105" s="82"/>
    </row>
    <row r="106" customFormat="false" ht="15.75" hidden="false" customHeight="false" outlineLevel="0" collapsed="false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3"/>
      <c r="W106" s="83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</row>
    <row r="107" customFormat="false" ht="15.75" hidden="false" customHeight="false" outlineLevel="0" collapsed="false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3"/>
      <c r="W107" s="83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82"/>
      <c r="AT107" s="82"/>
      <c r="AU107" s="82"/>
      <c r="AV107" s="82"/>
      <c r="AW107" s="82"/>
      <c r="AX107" s="82"/>
      <c r="AY107" s="82"/>
      <c r="AZ107" s="82"/>
      <c r="BA107" s="82"/>
      <c r="BB107" s="82"/>
      <c r="BC107" s="82"/>
    </row>
    <row r="108" customFormat="false" ht="15.75" hidden="false" customHeight="false" outlineLevel="0" collapsed="false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3"/>
      <c r="W108" s="83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  <c r="AT108" s="82"/>
      <c r="AU108" s="82"/>
      <c r="AV108" s="82"/>
      <c r="AW108" s="82"/>
      <c r="AX108" s="82"/>
      <c r="AY108" s="82"/>
      <c r="AZ108" s="82"/>
      <c r="BA108" s="82"/>
      <c r="BB108" s="82"/>
      <c r="BC108" s="82"/>
    </row>
    <row r="109" customFormat="false" ht="15.75" hidden="false" customHeight="false" outlineLevel="0" collapsed="false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3"/>
      <c r="W109" s="83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  <c r="AS109" s="82"/>
      <c r="AT109" s="82"/>
      <c r="AU109" s="82"/>
      <c r="AV109" s="82"/>
      <c r="AW109" s="82"/>
      <c r="AX109" s="82"/>
      <c r="AY109" s="82"/>
      <c r="AZ109" s="82"/>
      <c r="BA109" s="82"/>
      <c r="BB109" s="82"/>
      <c r="BC109" s="82"/>
    </row>
    <row r="110" customFormat="false" ht="15.75" hidden="false" customHeight="false" outlineLevel="0" collapsed="false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3"/>
      <c r="W110" s="83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  <c r="AR110" s="82"/>
      <c r="AS110" s="82"/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</row>
    <row r="111" customFormat="false" ht="15.75" hidden="false" customHeight="false" outlineLevel="0" collapsed="false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3"/>
      <c r="W111" s="83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</row>
    <row r="112" customFormat="false" ht="15.75" hidden="false" customHeight="false" outlineLevel="0" collapsed="false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3"/>
      <c r="W112" s="83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  <c r="AR112" s="82"/>
      <c r="AS112" s="82"/>
      <c r="AT112" s="82"/>
      <c r="AU112" s="82"/>
      <c r="AV112" s="82"/>
      <c r="AW112" s="82"/>
      <c r="AX112" s="82"/>
      <c r="AY112" s="82"/>
      <c r="AZ112" s="82"/>
      <c r="BA112" s="82"/>
      <c r="BB112" s="82"/>
      <c r="BC112" s="82"/>
    </row>
    <row r="113" customFormat="false" ht="15.75" hidden="false" customHeight="false" outlineLevel="0" collapsed="false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3"/>
      <c r="W113" s="83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2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</row>
    <row r="114" customFormat="false" ht="15.75" hidden="false" customHeight="false" outlineLevel="0" collapsed="false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3"/>
      <c r="W114" s="83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  <c r="AR114" s="82"/>
      <c r="AS114" s="82"/>
      <c r="AT114" s="82"/>
      <c r="AU114" s="82"/>
      <c r="AV114" s="82"/>
      <c r="AW114" s="82"/>
      <c r="AX114" s="82"/>
      <c r="AY114" s="82"/>
      <c r="AZ114" s="82"/>
      <c r="BA114" s="82"/>
      <c r="BB114" s="82"/>
      <c r="BC114" s="82"/>
    </row>
    <row r="115" customFormat="false" ht="15.75" hidden="false" customHeight="false" outlineLevel="0" collapsed="false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3"/>
      <c r="W115" s="83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</row>
    <row r="116" customFormat="false" ht="15.75" hidden="false" customHeight="false" outlineLevel="0" collapsed="false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3"/>
      <c r="W116" s="83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</row>
    <row r="117" customFormat="false" ht="15.75" hidden="false" customHeight="false" outlineLevel="0" collapsed="false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3"/>
      <c r="W117" s="83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</row>
    <row r="118" customFormat="false" ht="15.75" hidden="false" customHeight="false" outlineLevel="0" collapsed="false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3"/>
      <c r="W118" s="83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</row>
    <row r="119" customFormat="false" ht="15.75" hidden="false" customHeight="false" outlineLevel="0" collapsed="false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3"/>
      <c r="W119" s="83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</row>
    <row r="120" customFormat="false" ht="15.75" hidden="false" customHeight="false" outlineLevel="0" collapsed="false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3"/>
      <c r="W120" s="83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</row>
    <row r="121" customFormat="false" ht="15.75" hidden="false" customHeight="false" outlineLevel="0" collapsed="false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3"/>
      <c r="W121" s="83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</row>
    <row r="122" customFormat="false" ht="15.75" hidden="false" customHeight="false" outlineLevel="0" collapsed="false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3"/>
      <c r="W122" s="83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</row>
    <row r="123" customFormat="false" ht="15.75" hidden="false" customHeight="false" outlineLevel="0" collapsed="false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3"/>
      <c r="W123" s="83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</row>
    <row r="124" customFormat="false" ht="15.75" hidden="false" customHeight="false" outlineLevel="0" collapsed="false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3"/>
      <c r="W124" s="83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2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</row>
    <row r="125" customFormat="false" ht="15.75" hidden="false" customHeight="false" outlineLevel="0" collapsed="false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3"/>
      <c r="W125" s="83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  <c r="AR125" s="82"/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</row>
    <row r="126" customFormat="false" ht="15.75" hidden="false" customHeight="false" outlineLevel="0" collapsed="false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3"/>
      <c r="W126" s="83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</row>
    <row r="127" customFormat="false" ht="15.75" hidden="false" customHeight="false" outlineLevel="0" collapsed="false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3"/>
      <c r="W127" s="83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</row>
    <row r="128" customFormat="false" ht="15.75" hidden="false" customHeight="false" outlineLevel="0" collapsed="false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3"/>
      <c r="W128" s="83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</row>
    <row r="129" customFormat="false" ht="15.75" hidden="false" customHeight="false" outlineLevel="0" collapsed="false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3"/>
      <c r="W129" s="83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</row>
    <row r="130" customFormat="false" ht="15.75" hidden="false" customHeight="false" outlineLevel="0" collapsed="false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3"/>
      <c r="W130" s="83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</row>
    <row r="131" customFormat="false" ht="15.75" hidden="false" customHeight="false" outlineLevel="0" collapsed="false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3"/>
      <c r="W131" s="83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</row>
    <row r="132" customFormat="false" ht="15.75" hidden="false" customHeight="false" outlineLevel="0" collapsed="false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3"/>
      <c r="W132" s="83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</row>
    <row r="133" customFormat="false" ht="15.75" hidden="false" customHeight="false" outlineLevel="0" collapsed="false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58"/>
      <c r="W133" s="59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</row>
    <row r="134" customFormat="false" ht="15.75" hidden="false" customHeight="false" outlineLevel="0" collapsed="false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58"/>
      <c r="W134" s="59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</row>
    <row r="135" customFormat="false" ht="15.75" hidden="false" customHeight="false" outlineLevel="0" collapsed="false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58"/>
      <c r="W135" s="59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</row>
    <row r="136" customFormat="false" ht="15.75" hidden="false" customHeight="false" outlineLevel="0" collapsed="false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58"/>
      <c r="W136" s="59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</row>
    <row r="137" customFormat="false" ht="15.75" hidden="false" customHeight="false" outlineLevel="0" collapsed="false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58"/>
      <c r="W137" s="59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</row>
    <row r="138" customFormat="false" ht="15.75" hidden="false" customHeight="false" outlineLevel="0" collapsed="false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58"/>
      <c r="W138" s="59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</row>
    <row r="139" customFormat="false" ht="15.75" hidden="false" customHeight="false" outlineLevel="0" collapsed="false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58"/>
      <c r="W139" s="59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</row>
    <row r="140" customFormat="false" ht="15.75" hidden="false" customHeight="false" outlineLevel="0" collapsed="false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58"/>
      <c r="W140" s="59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</row>
    <row r="141" customFormat="false" ht="15.75" hidden="false" customHeight="false" outlineLevel="0" collapsed="false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58"/>
      <c r="W141" s="59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</row>
    <row r="142" customFormat="false" ht="15.75" hidden="false" customHeight="false" outlineLevel="0" collapsed="false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58"/>
      <c r="W142" s="59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</row>
    <row r="143" customFormat="false" ht="15.75" hidden="false" customHeight="false" outlineLevel="0" collapsed="false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58"/>
      <c r="W143" s="59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</row>
    <row r="144" customFormat="false" ht="15.75" hidden="false" customHeight="false" outlineLevel="0" collapsed="false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58"/>
      <c r="W144" s="59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</row>
    <row r="145" customFormat="false" ht="15.75" hidden="false" customHeight="false" outlineLevel="0" collapsed="false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58"/>
      <c r="W145" s="59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</row>
    <row r="146" customFormat="false" ht="15.75" hidden="false" customHeight="false" outlineLevel="0" collapsed="false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58"/>
      <c r="W146" s="59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</row>
    <row r="147" customFormat="false" ht="15.75" hidden="false" customHeight="false" outlineLevel="0" collapsed="false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58"/>
      <c r="W147" s="59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</row>
    <row r="148" customFormat="false" ht="15.75" hidden="false" customHeight="false" outlineLevel="0" collapsed="false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58"/>
      <c r="W148" s="59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</row>
    <row r="149" customFormat="false" ht="15.75" hidden="false" customHeight="false" outlineLevel="0" collapsed="false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58"/>
      <c r="W149" s="59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</row>
    <row r="150" customFormat="false" ht="15.75" hidden="false" customHeight="false" outlineLevel="0" collapsed="false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58"/>
      <c r="W150" s="59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</row>
    <row r="151" customFormat="false" ht="15.75" hidden="false" customHeight="false" outlineLevel="0" collapsed="false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58"/>
      <c r="W151" s="59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</row>
    <row r="152" customFormat="false" ht="15.75" hidden="false" customHeight="false" outlineLevel="0" collapsed="false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58"/>
      <c r="W152" s="59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</row>
    <row r="153" customFormat="false" ht="15.75" hidden="false" customHeight="false" outlineLevel="0" collapsed="false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58"/>
      <c r="W153" s="59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</row>
    <row r="154" customFormat="false" ht="15.75" hidden="false" customHeight="false" outlineLevel="0" collapsed="false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58"/>
      <c r="W154" s="59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</row>
    <row r="155" customFormat="false" ht="15.75" hidden="false" customHeight="false" outlineLevel="0" collapsed="false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58"/>
      <c r="W155" s="59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</row>
    <row r="156" customFormat="false" ht="15.75" hidden="false" customHeight="false" outlineLevel="0" collapsed="false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58"/>
      <c r="W156" s="59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</row>
    <row r="157" customFormat="false" ht="15.75" hidden="false" customHeight="false" outlineLevel="0" collapsed="false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58"/>
      <c r="W157" s="59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</row>
    <row r="158" customFormat="false" ht="15.75" hidden="false" customHeight="false" outlineLevel="0" collapsed="false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58"/>
      <c r="W158" s="59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</row>
    <row r="159" customFormat="false" ht="15.75" hidden="false" customHeight="false" outlineLevel="0" collapsed="false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58"/>
      <c r="W159" s="59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</row>
    <row r="160" customFormat="false" ht="15.75" hidden="false" customHeight="false" outlineLevel="0" collapsed="false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58"/>
      <c r="W160" s="59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</row>
    <row r="161" customFormat="false" ht="15.75" hidden="false" customHeight="false" outlineLevel="0" collapsed="false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58"/>
      <c r="W161" s="59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</row>
    <row r="162" customFormat="false" ht="15.75" hidden="false" customHeight="false" outlineLevel="0" collapsed="false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58"/>
      <c r="W162" s="59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</row>
    <row r="163" customFormat="false" ht="15.75" hidden="false" customHeight="false" outlineLevel="0" collapsed="false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58"/>
      <c r="W163" s="59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</row>
    <row r="164" customFormat="false" ht="15.75" hidden="false" customHeight="false" outlineLevel="0" collapsed="false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58"/>
      <c r="W164" s="59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</row>
    <row r="165" customFormat="false" ht="15.75" hidden="false" customHeight="false" outlineLevel="0" collapsed="false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58"/>
      <c r="W165" s="59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</row>
    <row r="166" customFormat="false" ht="15.75" hidden="false" customHeight="false" outlineLevel="0" collapsed="false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58"/>
      <c r="W166" s="59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</row>
    <row r="167" customFormat="false" ht="15.75" hidden="false" customHeight="false" outlineLevel="0" collapsed="false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58"/>
      <c r="W167" s="59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</row>
    <row r="168" customFormat="false" ht="15.75" hidden="false" customHeight="false" outlineLevel="0" collapsed="false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58"/>
      <c r="W168" s="59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</row>
    <row r="169" customFormat="false" ht="15.75" hidden="false" customHeight="false" outlineLevel="0" collapsed="false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58"/>
      <c r="W169" s="59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</row>
    <row r="170" customFormat="false" ht="15.75" hidden="false" customHeight="false" outlineLevel="0" collapsed="false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58"/>
      <c r="W170" s="59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</row>
    <row r="171" customFormat="false" ht="15.75" hidden="false" customHeight="false" outlineLevel="0" collapsed="false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58"/>
      <c r="W171" s="59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</row>
    <row r="172" customFormat="false" ht="15.75" hidden="false" customHeight="false" outlineLevel="0" collapsed="false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58"/>
      <c r="W172" s="59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</row>
    <row r="173" customFormat="false" ht="15.75" hidden="false" customHeight="false" outlineLevel="0" collapsed="false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58"/>
      <c r="W173" s="59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</row>
    <row r="174" customFormat="false" ht="15.75" hidden="false" customHeight="false" outlineLevel="0" collapsed="false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58"/>
      <c r="W174" s="59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</row>
    <row r="175" customFormat="false" ht="15.75" hidden="false" customHeight="false" outlineLevel="0" collapsed="false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58"/>
      <c r="W175" s="59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</row>
    <row r="176" customFormat="false" ht="15.75" hidden="false" customHeight="false" outlineLevel="0" collapsed="false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58"/>
      <c r="W176" s="59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</row>
    <row r="177" customFormat="false" ht="15.75" hidden="false" customHeight="false" outlineLevel="0" collapsed="false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58"/>
      <c r="W177" s="59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</row>
    <row r="178" customFormat="false" ht="15.75" hidden="false" customHeight="false" outlineLevel="0" collapsed="false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58"/>
      <c r="W178" s="59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</row>
    <row r="179" customFormat="false" ht="15.75" hidden="false" customHeight="false" outlineLevel="0" collapsed="false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58"/>
      <c r="W179" s="59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</row>
    <row r="180" customFormat="false" ht="15.75" hidden="false" customHeight="false" outlineLevel="0" collapsed="false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58"/>
      <c r="W180" s="59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</row>
    <row r="181" customFormat="false" ht="15.75" hidden="false" customHeight="false" outlineLevel="0" collapsed="false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58"/>
      <c r="W181" s="59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</row>
    <row r="182" customFormat="false" ht="15.75" hidden="false" customHeight="false" outlineLevel="0" collapsed="false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58"/>
      <c r="W182" s="59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</row>
    <row r="183" customFormat="false" ht="15.75" hidden="false" customHeight="false" outlineLevel="0" collapsed="false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58"/>
      <c r="W183" s="59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</row>
    <row r="184" customFormat="false" ht="15.75" hidden="false" customHeight="false" outlineLevel="0" collapsed="false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58"/>
      <c r="W184" s="59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</row>
    <row r="185" customFormat="false" ht="15.75" hidden="false" customHeight="false" outlineLevel="0" collapsed="false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58"/>
      <c r="W185" s="59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</row>
    <row r="186" customFormat="false" ht="15.75" hidden="false" customHeight="false" outlineLevel="0" collapsed="false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58"/>
      <c r="W186" s="59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</row>
    <row r="187" customFormat="false" ht="15.75" hidden="false" customHeight="false" outlineLevel="0" collapsed="false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58"/>
      <c r="W187" s="59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</row>
    <row r="188" customFormat="false" ht="15.75" hidden="false" customHeight="false" outlineLevel="0" collapsed="false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58"/>
      <c r="W188" s="59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</row>
    <row r="189" customFormat="false" ht="15.75" hidden="false" customHeight="false" outlineLevel="0" collapsed="false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58"/>
      <c r="W189" s="59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</row>
    <row r="190" customFormat="false" ht="15.75" hidden="false" customHeight="false" outlineLevel="0" collapsed="false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58"/>
      <c r="W190" s="59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</row>
    <row r="191" customFormat="false" ht="15.75" hidden="false" customHeight="false" outlineLevel="0" collapsed="false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58"/>
      <c r="W191" s="59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</row>
    <row r="192" customFormat="false" ht="15.75" hidden="false" customHeight="false" outlineLevel="0" collapsed="false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58"/>
      <c r="W192" s="59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</row>
    <row r="193" customFormat="false" ht="15.75" hidden="false" customHeight="false" outlineLevel="0" collapsed="false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58"/>
      <c r="W193" s="59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</row>
    <row r="194" customFormat="false" ht="15.75" hidden="false" customHeight="false" outlineLevel="0" collapsed="false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58"/>
      <c r="W194" s="59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</row>
    <row r="195" customFormat="false" ht="15.75" hidden="false" customHeight="false" outlineLevel="0" collapsed="false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58"/>
      <c r="W195" s="59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</row>
    <row r="196" customFormat="false" ht="15.75" hidden="false" customHeight="false" outlineLevel="0" collapsed="false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58"/>
      <c r="W196" s="59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</row>
    <row r="197" customFormat="false" ht="15.75" hidden="false" customHeight="false" outlineLevel="0" collapsed="false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58"/>
      <c r="W197" s="59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</row>
    <row r="198" customFormat="false" ht="15.75" hidden="false" customHeight="false" outlineLevel="0" collapsed="false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58"/>
      <c r="W198" s="59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</row>
    <row r="199" customFormat="false" ht="15.75" hidden="false" customHeight="false" outlineLevel="0" collapsed="false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58"/>
      <c r="W199" s="59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</row>
    <row r="200" customFormat="false" ht="15.75" hidden="false" customHeight="false" outlineLevel="0" collapsed="false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58"/>
      <c r="W200" s="59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</row>
    <row r="201" customFormat="false" ht="15.75" hidden="false" customHeight="false" outlineLevel="0" collapsed="false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58"/>
      <c r="W201" s="59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</row>
    <row r="202" customFormat="false" ht="15.75" hidden="false" customHeight="false" outlineLevel="0" collapsed="false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58"/>
      <c r="W202" s="59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</row>
    <row r="203" customFormat="false" ht="15.75" hidden="false" customHeight="false" outlineLevel="0" collapsed="false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58"/>
      <c r="W203" s="59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</row>
    <row r="204" customFormat="false" ht="15.75" hidden="false" customHeight="false" outlineLevel="0" collapsed="false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58"/>
      <c r="W204" s="59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</row>
    <row r="205" customFormat="false" ht="15.75" hidden="false" customHeight="false" outlineLevel="0" collapsed="false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58"/>
      <c r="W205" s="59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</row>
    <row r="206" customFormat="false" ht="15.75" hidden="false" customHeight="false" outlineLevel="0" collapsed="false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58"/>
      <c r="W206" s="59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</row>
    <row r="207" customFormat="false" ht="15.75" hidden="false" customHeight="false" outlineLevel="0" collapsed="false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58"/>
      <c r="W207" s="59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</row>
    <row r="208" customFormat="false" ht="15.75" hidden="false" customHeight="false" outlineLevel="0" collapsed="false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58"/>
      <c r="W208" s="59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</row>
    <row r="209" customFormat="false" ht="15.75" hidden="false" customHeight="false" outlineLevel="0" collapsed="false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58"/>
      <c r="W209" s="59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</row>
    <row r="210" customFormat="false" ht="15.75" hidden="false" customHeight="false" outlineLevel="0" collapsed="false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58"/>
      <c r="W210" s="59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</row>
    <row r="211" customFormat="false" ht="15.75" hidden="false" customHeight="false" outlineLevel="0" collapsed="false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58"/>
      <c r="W211" s="59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</row>
    <row r="212" customFormat="false" ht="15.75" hidden="false" customHeight="false" outlineLevel="0" collapsed="false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58"/>
      <c r="W212" s="59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</row>
    <row r="213" customFormat="false" ht="15.75" hidden="false" customHeight="false" outlineLevel="0" collapsed="false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58"/>
      <c r="W213" s="59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</row>
    <row r="214" customFormat="false" ht="15.75" hidden="false" customHeight="false" outlineLevel="0" collapsed="false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58"/>
      <c r="W214" s="59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</row>
    <row r="215" customFormat="false" ht="15.75" hidden="false" customHeight="false" outlineLevel="0" collapsed="false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58"/>
      <c r="W215" s="59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</row>
    <row r="216" customFormat="false" ht="15.75" hidden="false" customHeight="false" outlineLevel="0" collapsed="false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58"/>
      <c r="W216" s="59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</row>
    <row r="217" customFormat="false" ht="15.75" hidden="false" customHeight="false" outlineLevel="0" collapsed="false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58"/>
      <c r="W217" s="59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</row>
    <row r="218" customFormat="false" ht="15.75" hidden="false" customHeight="false" outlineLevel="0" collapsed="false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58"/>
      <c r="W218" s="59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</row>
    <row r="219" customFormat="false" ht="15.75" hidden="false" customHeight="false" outlineLevel="0" collapsed="false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58"/>
      <c r="W219" s="59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</row>
    <row r="220" customFormat="false" ht="15.75" hidden="false" customHeight="false" outlineLevel="0" collapsed="false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58"/>
      <c r="W220" s="59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</row>
    <row r="221" customFormat="false" ht="15.75" hidden="false" customHeight="false" outlineLevel="0" collapsed="false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58"/>
      <c r="W221" s="59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</row>
    <row r="222" customFormat="false" ht="15.75" hidden="false" customHeight="false" outlineLevel="0" collapsed="false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58"/>
      <c r="W222" s="59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</row>
    <row r="223" customFormat="false" ht="15.75" hidden="false" customHeight="false" outlineLevel="0" collapsed="false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58"/>
      <c r="W223" s="59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</row>
    <row r="224" customFormat="false" ht="15.75" hidden="false" customHeight="false" outlineLevel="0" collapsed="false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58"/>
      <c r="W224" s="59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</row>
    <row r="225" customFormat="false" ht="15.75" hidden="false" customHeight="false" outlineLevel="0" collapsed="false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58"/>
      <c r="W225" s="59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</row>
    <row r="226" customFormat="false" ht="15.75" hidden="false" customHeight="false" outlineLevel="0" collapsed="false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58"/>
      <c r="W226" s="59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</row>
    <row r="227" customFormat="false" ht="15.75" hidden="false" customHeight="false" outlineLevel="0" collapsed="false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58"/>
      <c r="W227" s="59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</row>
    <row r="228" customFormat="false" ht="15.75" hidden="false" customHeight="false" outlineLevel="0" collapsed="false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58"/>
      <c r="W228" s="59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</row>
    <row r="229" customFormat="false" ht="15.75" hidden="false" customHeight="false" outlineLevel="0" collapsed="false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58"/>
      <c r="W229" s="59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</row>
    <row r="230" customFormat="false" ht="15.75" hidden="false" customHeight="false" outlineLevel="0" collapsed="false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58"/>
      <c r="W230" s="59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</row>
    <row r="231" customFormat="false" ht="15.75" hidden="false" customHeight="false" outlineLevel="0" collapsed="false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58"/>
      <c r="W231" s="59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</row>
    <row r="232" customFormat="false" ht="15.75" hidden="false" customHeight="false" outlineLevel="0" collapsed="false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58"/>
      <c r="W232" s="59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</row>
    <row r="233" customFormat="false" ht="15.75" hidden="false" customHeight="false" outlineLevel="0" collapsed="false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58"/>
      <c r="W233" s="59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</row>
    <row r="234" customFormat="false" ht="15.75" hidden="false" customHeight="false" outlineLevel="0" collapsed="false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58"/>
      <c r="W234" s="59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</row>
    <row r="235" customFormat="false" ht="15.75" hidden="false" customHeight="false" outlineLevel="0" collapsed="false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58"/>
      <c r="W235" s="59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</row>
    <row r="236" customFormat="false" ht="15.75" hidden="false" customHeight="false" outlineLevel="0" collapsed="false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58"/>
      <c r="W236" s="59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</row>
    <row r="237" customFormat="false" ht="15.75" hidden="false" customHeight="false" outlineLevel="0" collapsed="false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58"/>
      <c r="W237" s="59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</row>
    <row r="238" customFormat="false" ht="15.75" hidden="false" customHeight="false" outlineLevel="0" collapsed="false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58"/>
      <c r="W238" s="59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</row>
    <row r="239" customFormat="false" ht="15.75" hidden="false" customHeight="false" outlineLevel="0" collapsed="false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58"/>
      <c r="W239" s="59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</row>
    <row r="240" customFormat="false" ht="15.75" hidden="false" customHeight="false" outlineLevel="0" collapsed="false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58"/>
      <c r="W240" s="59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</row>
    <row r="241" customFormat="false" ht="15.75" hidden="false" customHeight="false" outlineLevel="0" collapsed="false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58"/>
      <c r="W241" s="59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</row>
    <row r="242" customFormat="false" ht="15.75" hidden="false" customHeight="false" outlineLevel="0" collapsed="false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58"/>
      <c r="W242" s="59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</row>
    <row r="243" customFormat="false" ht="15.75" hidden="false" customHeight="false" outlineLevel="0" collapsed="false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58"/>
      <c r="W243" s="59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</row>
    <row r="244" customFormat="false" ht="15.75" hidden="false" customHeight="false" outlineLevel="0" collapsed="false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58"/>
      <c r="W244" s="59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</row>
    <row r="245" customFormat="false" ht="15.75" hidden="false" customHeight="false" outlineLevel="0" collapsed="false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58"/>
      <c r="W245" s="59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</row>
    <row r="246" customFormat="false" ht="15.75" hidden="false" customHeight="false" outlineLevel="0" collapsed="false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58"/>
      <c r="W246" s="59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</row>
    <row r="247" customFormat="false" ht="15.75" hidden="false" customHeight="false" outlineLevel="0" collapsed="false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58"/>
      <c r="W247" s="59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</row>
    <row r="248" customFormat="false" ht="15.75" hidden="false" customHeight="false" outlineLevel="0" collapsed="false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58"/>
      <c r="W248" s="59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</row>
    <row r="249" customFormat="false" ht="15.75" hidden="false" customHeight="false" outlineLevel="0" collapsed="false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58"/>
      <c r="W249" s="59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</row>
    <row r="250" customFormat="false" ht="15.75" hidden="false" customHeight="false" outlineLevel="0" collapsed="false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58"/>
      <c r="W250" s="59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</row>
    <row r="251" customFormat="false" ht="15.75" hidden="false" customHeight="false" outlineLevel="0" collapsed="false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58"/>
      <c r="W251" s="59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</row>
    <row r="252" customFormat="false" ht="15.75" hidden="false" customHeight="false" outlineLevel="0" collapsed="false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58"/>
      <c r="W252" s="59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</row>
    <row r="253" customFormat="false" ht="15.75" hidden="false" customHeight="false" outlineLevel="0" collapsed="false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58"/>
      <c r="W253" s="59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</row>
    <row r="254" customFormat="false" ht="15.75" hidden="false" customHeight="false" outlineLevel="0" collapsed="false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58"/>
      <c r="W254" s="59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</row>
    <row r="255" customFormat="false" ht="15.75" hidden="false" customHeight="false" outlineLevel="0" collapsed="false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58"/>
      <c r="W255" s="59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</row>
    <row r="256" customFormat="false" ht="15.75" hidden="false" customHeight="false" outlineLevel="0" collapsed="false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58"/>
      <c r="W256" s="59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</row>
    <row r="257" customFormat="false" ht="15.75" hidden="false" customHeight="false" outlineLevel="0" collapsed="false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58"/>
      <c r="W257" s="59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</row>
    <row r="258" customFormat="false" ht="15.75" hidden="false" customHeight="false" outlineLevel="0" collapsed="false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58"/>
      <c r="W258" s="59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</row>
    <row r="259" customFormat="false" ht="15.75" hidden="false" customHeight="false" outlineLevel="0" collapsed="false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58"/>
      <c r="W259" s="59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</row>
    <row r="260" customFormat="false" ht="15.75" hidden="false" customHeight="false" outlineLevel="0" collapsed="false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58"/>
      <c r="W260" s="59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</row>
    <row r="261" customFormat="false" ht="15.75" hidden="false" customHeight="false" outlineLevel="0" collapsed="false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58"/>
      <c r="W261" s="59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</row>
    <row r="262" customFormat="false" ht="15.75" hidden="false" customHeight="false" outlineLevel="0" collapsed="false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58"/>
      <c r="W262" s="59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</row>
    <row r="263" customFormat="false" ht="15.75" hidden="false" customHeight="false" outlineLevel="0" collapsed="false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58"/>
      <c r="W263" s="59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</row>
    <row r="264" customFormat="false" ht="15.75" hidden="false" customHeight="false" outlineLevel="0" collapsed="false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58"/>
      <c r="W264" s="59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</row>
    <row r="265" customFormat="false" ht="15.75" hidden="false" customHeight="false" outlineLevel="0" collapsed="false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58"/>
      <c r="W265" s="59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</row>
    <row r="266" customFormat="false" ht="15.75" hidden="false" customHeight="false" outlineLevel="0" collapsed="false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58"/>
      <c r="W266" s="59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</row>
    <row r="267" customFormat="false" ht="15.75" hidden="false" customHeight="false" outlineLevel="0" collapsed="false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58"/>
      <c r="W267" s="59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</row>
    <row r="268" customFormat="false" ht="15.75" hidden="false" customHeight="false" outlineLevel="0" collapsed="false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58"/>
      <c r="W268" s="59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</row>
    <row r="269" customFormat="false" ht="15.75" hidden="false" customHeight="false" outlineLevel="0" collapsed="false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58"/>
      <c r="W269" s="59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</row>
    <row r="270" customFormat="false" ht="15.75" hidden="false" customHeight="false" outlineLevel="0" collapsed="false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58"/>
      <c r="W270" s="59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</row>
    <row r="271" customFormat="false" ht="15.75" hidden="false" customHeight="false" outlineLevel="0" collapsed="false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58"/>
      <c r="W271" s="59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</row>
    <row r="272" customFormat="false" ht="15.75" hidden="false" customHeight="false" outlineLevel="0" collapsed="false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58"/>
      <c r="W272" s="59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</row>
    <row r="273" customFormat="false" ht="15.75" hidden="false" customHeight="false" outlineLevel="0" collapsed="false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58"/>
      <c r="W273" s="59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</row>
    <row r="274" customFormat="false" ht="15.75" hidden="false" customHeight="false" outlineLevel="0" collapsed="false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58"/>
      <c r="W274" s="59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</row>
    <row r="275" customFormat="false" ht="15.75" hidden="false" customHeight="false" outlineLevel="0" collapsed="false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58"/>
      <c r="W275" s="59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</row>
    <row r="276" customFormat="false" ht="15.75" hidden="false" customHeight="false" outlineLevel="0" collapsed="false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58"/>
      <c r="W276" s="59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</row>
    <row r="277" customFormat="false" ht="15.75" hidden="false" customHeight="false" outlineLevel="0" collapsed="false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58"/>
      <c r="W277" s="59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</row>
    <row r="278" customFormat="false" ht="15.75" hidden="false" customHeight="false" outlineLevel="0" collapsed="false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58"/>
      <c r="W278" s="59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</row>
    <row r="279" customFormat="false" ht="15.75" hidden="false" customHeight="false" outlineLevel="0" collapsed="false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58"/>
      <c r="W279" s="59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</row>
    <row r="280" customFormat="false" ht="15.75" hidden="false" customHeight="false" outlineLevel="0" collapsed="false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58"/>
      <c r="W280" s="59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</row>
    <row r="281" customFormat="false" ht="15.75" hidden="false" customHeight="false" outlineLevel="0" collapsed="false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58"/>
      <c r="W281" s="59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</row>
    <row r="282" customFormat="false" ht="15.75" hidden="false" customHeight="false" outlineLevel="0" collapsed="false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58"/>
      <c r="W282" s="59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</row>
    <row r="283" customFormat="false" ht="15.75" hidden="false" customHeight="false" outlineLevel="0" collapsed="false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58"/>
      <c r="W283" s="59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</row>
    <row r="284" customFormat="false" ht="15.75" hidden="false" customHeight="false" outlineLevel="0" collapsed="false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58"/>
      <c r="W284" s="59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</row>
    <row r="285" customFormat="false" ht="15.75" hidden="false" customHeight="false" outlineLevel="0" collapsed="false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58"/>
      <c r="W285" s="59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</row>
    <row r="286" customFormat="false" ht="15.75" hidden="false" customHeight="false" outlineLevel="0" collapsed="false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58"/>
      <c r="W286" s="59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</row>
    <row r="287" customFormat="false" ht="15.75" hidden="false" customHeight="false" outlineLevel="0" collapsed="false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58"/>
      <c r="W287" s="59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</row>
    <row r="288" customFormat="false" ht="15.75" hidden="false" customHeight="false" outlineLevel="0" collapsed="false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58"/>
      <c r="W288" s="59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</row>
    <row r="289" customFormat="false" ht="15.75" hidden="false" customHeight="false" outlineLevel="0" collapsed="false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58"/>
      <c r="W289" s="59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</row>
    <row r="290" customFormat="false" ht="15.75" hidden="false" customHeight="false" outlineLevel="0" collapsed="false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58"/>
      <c r="W290" s="59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</row>
    <row r="291" customFormat="false" ht="15.75" hidden="false" customHeight="false" outlineLevel="0" collapsed="false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58"/>
      <c r="W291" s="59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</row>
    <row r="292" customFormat="false" ht="15.75" hidden="false" customHeight="false" outlineLevel="0" collapsed="false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58"/>
      <c r="W292" s="59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</row>
    <row r="293" customFormat="false" ht="15.75" hidden="false" customHeight="false" outlineLevel="0" collapsed="false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58"/>
      <c r="W293" s="59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</row>
    <row r="294" customFormat="false" ht="15.75" hidden="false" customHeight="false" outlineLevel="0" collapsed="false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58"/>
      <c r="W294" s="59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</row>
    <row r="295" customFormat="false" ht="15.75" hidden="false" customHeight="false" outlineLevel="0" collapsed="false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58"/>
      <c r="W295" s="59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</row>
    <row r="296" customFormat="false" ht="15.75" hidden="false" customHeight="false" outlineLevel="0" collapsed="false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58"/>
      <c r="W296" s="59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</row>
    <row r="297" customFormat="false" ht="15.75" hidden="false" customHeight="false" outlineLevel="0" collapsed="false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58"/>
      <c r="W297" s="59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</row>
    <row r="298" customFormat="false" ht="15.75" hidden="false" customHeight="false" outlineLevel="0" collapsed="false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58"/>
      <c r="W298" s="59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</row>
    <row r="299" customFormat="false" ht="15.75" hidden="false" customHeight="false" outlineLevel="0" collapsed="false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58"/>
      <c r="W299" s="59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</row>
    <row r="300" customFormat="false" ht="15.75" hidden="false" customHeight="false" outlineLevel="0" collapsed="false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58"/>
      <c r="W300" s="59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</row>
    <row r="301" customFormat="false" ht="15.75" hidden="false" customHeight="false" outlineLevel="0" collapsed="false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58"/>
      <c r="W301" s="59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</row>
    <row r="302" customFormat="false" ht="15.75" hidden="false" customHeight="false" outlineLevel="0" collapsed="false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58"/>
      <c r="W302" s="59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</row>
    <row r="303" customFormat="false" ht="15.75" hidden="false" customHeight="false" outlineLevel="0" collapsed="false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58"/>
      <c r="W303" s="59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</row>
    <row r="304" customFormat="false" ht="15.75" hidden="false" customHeight="false" outlineLevel="0" collapsed="false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58"/>
      <c r="W304" s="59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</row>
    <row r="305" customFormat="false" ht="15.75" hidden="false" customHeight="false" outlineLevel="0" collapsed="false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58"/>
      <c r="W305" s="59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</row>
    <row r="306" customFormat="false" ht="15.75" hidden="false" customHeight="false" outlineLevel="0" collapsed="false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58"/>
      <c r="W306" s="59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</row>
    <row r="307" customFormat="false" ht="15.75" hidden="false" customHeight="false" outlineLevel="0" collapsed="false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58"/>
      <c r="W307" s="59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</row>
    <row r="308" customFormat="false" ht="15.75" hidden="false" customHeight="false" outlineLevel="0" collapsed="false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58"/>
      <c r="W308" s="59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</row>
    <row r="309" customFormat="false" ht="15.75" hidden="false" customHeight="false" outlineLevel="0" collapsed="false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58"/>
      <c r="W309" s="59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</row>
    <row r="310" customFormat="false" ht="15.75" hidden="false" customHeight="false" outlineLevel="0" collapsed="false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58"/>
      <c r="W310" s="59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</row>
    <row r="311" customFormat="false" ht="15.75" hidden="false" customHeight="false" outlineLevel="0" collapsed="false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58"/>
      <c r="W311" s="59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</row>
    <row r="312" customFormat="false" ht="15.75" hidden="false" customHeight="false" outlineLevel="0" collapsed="false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58"/>
      <c r="W312" s="59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</row>
    <row r="313" customFormat="false" ht="15.75" hidden="false" customHeight="false" outlineLevel="0" collapsed="false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58"/>
      <c r="W313" s="59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</row>
    <row r="314" customFormat="false" ht="15.75" hidden="false" customHeight="false" outlineLevel="0" collapsed="false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58"/>
      <c r="W314" s="59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</row>
    <row r="315" customFormat="false" ht="15.75" hidden="false" customHeight="false" outlineLevel="0" collapsed="false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58"/>
      <c r="W315" s="59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</row>
    <row r="316" customFormat="false" ht="15.75" hidden="false" customHeight="false" outlineLevel="0" collapsed="false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58"/>
      <c r="W316" s="59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</row>
    <row r="317" customFormat="false" ht="15.75" hidden="false" customHeight="false" outlineLevel="0" collapsed="false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58"/>
      <c r="W317" s="59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</row>
    <row r="318" customFormat="false" ht="15.75" hidden="false" customHeight="false" outlineLevel="0" collapsed="false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58"/>
      <c r="W318" s="59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</row>
    <row r="319" customFormat="false" ht="15.75" hidden="false" customHeight="false" outlineLevel="0" collapsed="false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58"/>
      <c r="W319" s="59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</row>
    <row r="320" customFormat="false" ht="15.75" hidden="false" customHeight="false" outlineLevel="0" collapsed="false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58"/>
      <c r="W320" s="59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</row>
    <row r="321" customFormat="false" ht="15.75" hidden="false" customHeight="false" outlineLevel="0" collapsed="false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58"/>
      <c r="W321" s="59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</row>
    <row r="322" customFormat="false" ht="15.75" hidden="false" customHeight="false" outlineLevel="0" collapsed="false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58"/>
      <c r="W322" s="59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</row>
    <row r="323" customFormat="false" ht="15.75" hidden="false" customHeight="false" outlineLevel="0" collapsed="false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58"/>
      <c r="W323" s="59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</row>
    <row r="324" customFormat="false" ht="15.75" hidden="false" customHeight="false" outlineLevel="0" collapsed="false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58"/>
      <c r="W324" s="59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</row>
    <row r="325" customFormat="false" ht="15.75" hidden="false" customHeight="false" outlineLevel="0" collapsed="false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58"/>
      <c r="W325" s="59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</row>
    <row r="326" customFormat="false" ht="15.75" hidden="false" customHeight="false" outlineLevel="0" collapsed="false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58"/>
      <c r="W326" s="59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</row>
    <row r="327" customFormat="false" ht="15.75" hidden="false" customHeight="false" outlineLevel="0" collapsed="false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58"/>
      <c r="W327" s="59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</row>
    <row r="328" customFormat="false" ht="15.75" hidden="false" customHeight="false" outlineLevel="0" collapsed="false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58"/>
      <c r="W328" s="59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</row>
    <row r="329" customFormat="false" ht="15.75" hidden="false" customHeight="false" outlineLevel="0" collapsed="false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58"/>
      <c r="W329" s="59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</row>
    <row r="330" customFormat="false" ht="15.75" hidden="false" customHeight="false" outlineLevel="0" collapsed="false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58"/>
      <c r="W330" s="59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</row>
    <row r="331" customFormat="false" ht="15.75" hidden="false" customHeight="false" outlineLevel="0" collapsed="false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58"/>
      <c r="W331" s="59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</row>
    <row r="332" customFormat="false" ht="15.75" hidden="false" customHeight="false" outlineLevel="0" collapsed="false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58"/>
      <c r="W332" s="59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</row>
    <row r="333" customFormat="false" ht="15.75" hidden="false" customHeight="false" outlineLevel="0" collapsed="false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58"/>
      <c r="W333" s="59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</row>
    <row r="334" customFormat="false" ht="15.75" hidden="false" customHeight="false" outlineLevel="0" collapsed="false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58"/>
      <c r="W334" s="59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</row>
    <row r="335" customFormat="false" ht="15.75" hidden="false" customHeight="false" outlineLevel="0" collapsed="false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58"/>
      <c r="W335" s="59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</row>
    <row r="336" customFormat="false" ht="15.75" hidden="false" customHeight="false" outlineLevel="0" collapsed="false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58"/>
      <c r="W336" s="59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</row>
    <row r="337" customFormat="false" ht="15.75" hidden="false" customHeight="false" outlineLevel="0" collapsed="false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58"/>
      <c r="W337" s="59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</row>
    <row r="338" customFormat="false" ht="15.75" hidden="false" customHeight="false" outlineLevel="0" collapsed="false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58"/>
      <c r="W338" s="59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</row>
    <row r="339" customFormat="false" ht="15.75" hidden="false" customHeight="false" outlineLevel="0" collapsed="false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58"/>
      <c r="W339" s="59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</row>
    <row r="340" customFormat="false" ht="15.75" hidden="false" customHeight="false" outlineLevel="0" collapsed="false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58"/>
      <c r="W340" s="59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</row>
    <row r="341" customFormat="false" ht="15.75" hidden="false" customHeight="false" outlineLevel="0" collapsed="false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58"/>
      <c r="W341" s="59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</row>
    <row r="342" customFormat="false" ht="15.75" hidden="false" customHeight="false" outlineLevel="0" collapsed="false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58"/>
      <c r="W342" s="59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</row>
    <row r="343" customFormat="false" ht="15.75" hidden="false" customHeight="false" outlineLevel="0" collapsed="false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58"/>
      <c r="W343" s="59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</row>
    <row r="344" customFormat="false" ht="15.75" hidden="false" customHeight="false" outlineLevel="0" collapsed="false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58"/>
      <c r="W344" s="59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</row>
    <row r="345" customFormat="false" ht="15.75" hidden="false" customHeight="false" outlineLevel="0" collapsed="false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58"/>
      <c r="W345" s="59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</row>
    <row r="346" customFormat="false" ht="15.75" hidden="false" customHeight="false" outlineLevel="0" collapsed="false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58"/>
      <c r="W346" s="59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</row>
    <row r="347" customFormat="false" ht="15.75" hidden="false" customHeight="false" outlineLevel="0" collapsed="false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58"/>
      <c r="W347" s="59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</row>
    <row r="348" customFormat="false" ht="15.75" hidden="false" customHeight="false" outlineLevel="0" collapsed="false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58"/>
      <c r="W348" s="59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</row>
    <row r="349" customFormat="false" ht="15.75" hidden="false" customHeight="false" outlineLevel="0" collapsed="false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58"/>
      <c r="W349" s="59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</row>
    <row r="350" customFormat="false" ht="15.75" hidden="false" customHeight="false" outlineLevel="0" collapsed="false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58"/>
      <c r="W350" s="59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</row>
    <row r="351" customFormat="false" ht="15.75" hidden="false" customHeight="false" outlineLevel="0" collapsed="false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58"/>
      <c r="W351" s="59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</row>
    <row r="352" customFormat="false" ht="15.75" hidden="false" customHeight="false" outlineLevel="0" collapsed="false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58"/>
      <c r="W352" s="59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</row>
    <row r="353" customFormat="false" ht="15.75" hidden="false" customHeight="false" outlineLevel="0" collapsed="false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58"/>
      <c r="W353" s="59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</row>
    <row r="354" customFormat="false" ht="15.75" hidden="false" customHeight="false" outlineLevel="0" collapsed="false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58"/>
      <c r="W354" s="59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</row>
    <row r="355" customFormat="false" ht="15.75" hidden="false" customHeight="false" outlineLevel="0" collapsed="false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58"/>
      <c r="W355" s="59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</row>
    <row r="356" customFormat="false" ht="15.75" hidden="false" customHeight="false" outlineLevel="0" collapsed="false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58"/>
      <c r="W356" s="59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</row>
    <row r="357" customFormat="false" ht="15.75" hidden="false" customHeight="false" outlineLevel="0" collapsed="false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58"/>
      <c r="W357" s="59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</row>
    <row r="358" customFormat="false" ht="15.75" hidden="false" customHeight="false" outlineLevel="0" collapsed="false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58"/>
      <c r="W358" s="59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</row>
    <row r="359" customFormat="false" ht="15.75" hidden="false" customHeight="false" outlineLevel="0" collapsed="false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58"/>
      <c r="W359" s="59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</row>
    <row r="360" customFormat="false" ht="15.75" hidden="false" customHeight="false" outlineLevel="0" collapsed="false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58"/>
      <c r="W360" s="59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</row>
    <row r="361" customFormat="false" ht="15.75" hidden="false" customHeight="false" outlineLevel="0" collapsed="false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58"/>
      <c r="W361" s="59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</row>
    <row r="362" customFormat="false" ht="15.75" hidden="false" customHeight="false" outlineLevel="0" collapsed="false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58"/>
      <c r="W362" s="59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</row>
    <row r="363" customFormat="false" ht="15.75" hidden="false" customHeight="false" outlineLevel="0" collapsed="false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58"/>
      <c r="W363" s="59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</row>
    <row r="364" customFormat="false" ht="15.75" hidden="false" customHeight="false" outlineLevel="0" collapsed="false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58"/>
      <c r="W364" s="59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</row>
    <row r="365" customFormat="false" ht="15.75" hidden="false" customHeight="false" outlineLevel="0" collapsed="false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58"/>
      <c r="W365" s="59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</row>
    <row r="366" customFormat="false" ht="15.75" hidden="false" customHeight="false" outlineLevel="0" collapsed="false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58"/>
      <c r="W366" s="59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</row>
    <row r="367" customFormat="false" ht="15.75" hidden="false" customHeight="false" outlineLevel="0" collapsed="false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58"/>
      <c r="W367" s="59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</row>
    <row r="368" customFormat="false" ht="15.75" hidden="false" customHeight="false" outlineLevel="0" collapsed="false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58"/>
      <c r="W368" s="59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</row>
    <row r="369" customFormat="false" ht="15.75" hidden="false" customHeight="false" outlineLevel="0" collapsed="false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58"/>
      <c r="W369" s="59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</row>
    <row r="370" customFormat="false" ht="15.75" hidden="false" customHeight="false" outlineLevel="0" collapsed="false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58"/>
      <c r="W370" s="59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</row>
    <row r="371" customFormat="false" ht="15.75" hidden="false" customHeight="false" outlineLevel="0" collapsed="false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58"/>
      <c r="W371" s="59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</row>
    <row r="372" customFormat="false" ht="15.75" hidden="false" customHeight="false" outlineLevel="0" collapsed="false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58"/>
      <c r="W372" s="59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</row>
    <row r="373" customFormat="false" ht="15.75" hidden="false" customHeight="false" outlineLevel="0" collapsed="false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58"/>
      <c r="W373" s="59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</row>
    <row r="374" customFormat="false" ht="15.75" hidden="false" customHeight="false" outlineLevel="0" collapsed="false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58"/>
      <c r="W374" s="59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</row>
    <row r="375" customFormat="false" ht="15.75" hidden="false" customHeight="false" outlineLevel="0" collapsed="false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58"/>
      <c r="W375" s="59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</row>
    <row r="376" customFormat="false" ht="15.75" hidden="false" customHeight="false" outlineLevel="0" collapsed="false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58"/>
      <c r="W376" s="59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</row>
    <row r="377" customFormat="false" ht="15.75" hidden="false" customHeight="false" outlineLevel="0" collapsed="false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58"/>
      <c r="W377" s="59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</row>
    <row r="378" customFormat="false" ht="15.75" hidden="false" customHeight="false" outlineLevel="0" collapsed="false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58"/>
      <c r="W378" s="59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</row>
    <row r="379" customFormat="false" ht="15.75" hidden="false" customHeight="false" outlineLevel="0" collapsed="false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58"/>
      <c r="W379" s="59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</row>
    <row r="380" customFormat="false" ht="15.75" hidden="false" customHeight="false" outlineLevel="0" collapsed="false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58"/>
      <c r="W380" s="59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</row>
    <row r="381" customFormat="false" ht="15.75" hidden="false" customHeight="false" outlineLevel="0" collapsed="false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58"/>
      <c r="W381" s="59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</row>
    <row r="382" customFormat="false" ht="15.75" hidden="false" customHeight="false" outlineLevel="0" collapsed="false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58"/>
      <c r="W382" s="59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</row>
    <row r="383" customFormat="false" ht="15.75" hidden="false" customHeight="false" outlineLevel="0" collapsed="false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58"/>
      <c r="W383" s="59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</row>
    <row r="384" customFormat="false" ht="15.75" hidden="false" customHeight="false" outlineLevel="0" collapsed="false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58"/>
      <c r="W384" s="59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</row>
    <row r="385" customFormat="false" ht="15.75" hidden="false" customHeight="false" outlineLevel="0" collapsed="false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58"/>
      <c r="W385" s="59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</row>
    <row r="386" customFormat="false" ht="15.75" hidden="false" customHeight="false" outlineLevel="0" collapsed="false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58"/>
      <c r="W386" s="59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</row>
    <row r="387" customFormat="false" ht="15.75" hidden="false" customHeight="false" outlineLevel="0" collapsed="false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58"/>
      <c r="W387" s="59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</row>
    <row r="388" customFormat="false" ht="15.75" hidden="false" customHeight="false" outlineLevel="0" collapsed="false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58"/>
      <c r="W388" s="59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</row>
    <row r="389" customFormat="false" ht="15.75" hidden="false" customHeight="false" outlineLevel="0" collapsed="false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58"/>
      <c r="W389" s="59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</row>
    <row r="390" customFormat="false" ht="15.75" hidden="false" customHeight="false" outlineLevel="0" collapsed="false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58"/>
      <c r="W390" s="59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</row>
    <row r="391" customFormat="false" ht="15.75" hidden="false" customHeight="false" outlineLevel="0" collapsed="false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58"/>
      <c r="W391" s="59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</row>
    <row r="392" customFormat="false" ht="15.75" hidden="false" customHeight="false" outlineLevel="0" collapsed="false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58"/>
      <c r="W392" s="59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</row>
    <row r="393" customFormat="false" ht="15.75" hidden="false" customHeight="false" outlineLevel="0" collapsed="false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58"/>
      <c r="W393" s="59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</row>
    <row r="394" customFormat="false" ht="15.75" hidden="false" customHeight="false" outlineLevel="0" collapsed="false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58"/>
      <c r="W394" s="59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</row>
    <row r="395" customFormat="false" ht="15.75" hidden="false" customHeight="false" outlineLevel="0" collapsed="false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58"/>
      <c r="W395" s="59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</row>
    <row r="396" customFormat="false" ht="15.75" hidden="false" customHeight="false" outlineLevel="0" collapsed="false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58"/>
      <c r="W396" s="59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</row>
    <row r="397" customFormat="false" ht="15.75" hidden="false" customHeight="false" outlineLevel="0" collapsed="false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58"/>
      <c r="W397" s="59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</row>
    <row r="398" customFormat="false" ht="15.75" hidden="false" customHeight="false" outlineLevel="0" collapsed="false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58"/>
      <c r="W398" s="59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</row>
    <row r="399" customFormat="false" ht="15.75" hidden="false" customHeight="false" outlineLevel="0" collapsed="false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58"/>
      <c r="W399" s="59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</row>
    <row r="400" customFormat="false" ht="15.75" hidden="false" customHeight="false" outlineLevel="0" collapsed="false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58"/>
      <c r="W400" s="59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</row>
    <row r="401" customFormat="false" ht="15.75" hidden="false" customHeight="false" outlineLevel="0" collapsed="false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58"/>
      <c r="W401" s="59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</row>
    <row r="402" customFormat="false" ht="15.75" hidden="false" customHeight="false" outlineLevel="0" collapsed="false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58"/>
      <c r="W402" s="59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</row>
    <row r="403" customFormat="false" ht="15.75" hidden="false" customHeight="false" outlineLevel="0" collapsed="false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58"/>
      <c r="W403" s="59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</row>
    <row r="404" customFormat="false" ht="15.75" hidden="false" customHeight="false" outlineLevel="0" collapsed="false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58"/>
      <c r="W404" s="59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</row>
    <row r="405" customFormat="false" ht="15.75" hidden="false" customHeight="false" outlineLevel="0" collapsed="false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58"/>
      <c r="W405" s="59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</row>
    <row r="406" customFormat="false" ht="15.75" hidden="false" customHeight="false" outlineLevel="0" collapsed="false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58"/>
      <c r="W406" s="59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</row>
    <row r="407" customFormat="false" ht="15.75" hidden="false" customHeight="false" outlineLevel="0" collapsed="false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58"/>
      <c r="W407" s="59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</row>
    <row r="408" customFormat="false" ht="15.75" hidden="false" customHeight="false" outlineLevel="0" collapsed="false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58"/>
      <c r="W408" s="59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</row>
    <row r="409" customFormat="false" ht="15.75" hidden="false" customHeight="false" outlineLevel="0" collapsed="false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58"/>
      <c r="W409" s="59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</row>
    <row r="410" customFormat="false" ht="15.75" hidden="false" customHeight="false" outlineLevel="0" collapsed="false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58"/>
      <c r="W410" s="59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</row>
    <row r="411" customFormat="false" ht="15.75" hidden="false" customHeight="false" outlineLevel="0" collapsed="false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58"/>
      <c r="W411" s="59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</row>
    <row r="412" customFormat="false" ht="15.75" hidden="false" customHeight="false" outlineLevel="0" collapsed="false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58"/>
      <c r="W412" s="59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</row>
    <row r="413" customFormat="false" ht="15.75" hidden="false" customHeight="false" outlineLevel="0" collapsed="false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58"/>
      <c r="W413" s="59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</row>
    <row r="414" customFormat="false" ht="15.75" hidden="false" customHeight="false" outlineLevel="0" collapsed="false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58"/>
      <c r="W414" s="59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</row>
    <row r="415" customFormat="false" ht="15.75" hidden="false" customHeight="false" outlineLevel="0" collapsed="false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58"/>
      <c r="W415" s="59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</row>
    <row r="416" customFormat="false" ht="15.75" hidden="false" customHeight="false" outlineLevel="0" collapsed="false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58"/>
      <c r="W416" s="59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</row>
    <row r="417" customFormat="false" ht="15.75" hidden="false" customHeight="false" outlineLevel="0" collapsed="false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58"/>
      <c r="W417" s="59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</row>
    <row r="418" customFormat="false" ht="15.75" hidden="false" customHeight="false" outlineLevel="0" collapsed="false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58"/>
      <c r="W418" s="59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</row>
    <row r="419" customFormat="false" ht="15.75" hidden="false" customHeight="false" outlineLevel="0" collapsed="false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58"/>
      <c r="W419" s="59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</row>
    <row r="420" customFormat="false" ht="15.75" hidden="false" customHeight="false" outlineLevel="0" collapsed="false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58"/>
      <c r="W420" s="59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</row>
    <row r="421" customFormat="false" ht="15.75" hidden="false" customHeight="false" outlineLevel="0" collapsed="false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58"/>
      <c r="W421" s="59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</row>
    <row r="422" customFormat="false" ht="15.75" hidden="false" customHeight="false" outlineLevel="0" collapsed="false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58"/>
      <c r="W422" s="59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</row>
    <row r="423" customFormat="false" ht="15.75" hidden="false" customHeight="false" outlineLevel="0" collapsed="false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58"/>
      <c r="W423" s="59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</row>
    <row r="424" customFormat="false" ht="15.75" hidden="false" customHeight="false" outlineLevel="0" collapsed="false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58"/>
      <c r="W424" s="59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</row>
    <row r="425" customFormat="false" ht="15.75" hidden="false" customHeight="false" outlineLevel="0" collapsed="false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58"/>
      <c r="W425" s="59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</row>
    <row r="426" customFormat="false" ht="15.75" hidden="false" customHeight="false" outlineLevel="0" collapsed="false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58"/>
      <c r="W426" s="59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</row>
    <row r="427" customFormat="false" ht="15.75" hidden="false" customHeight="false" outlineLevel="0" collapsed="false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58"/>
      <c r="W427" s="59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</row>
    <row r="428" customFormat="false" ht="15.75" hidden="false" customHeight="false" outlineLevel="0" collapsed="false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58"/>
      <c r="W428" s="59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</row>
    <row r="429" customFormat="false" ht="15.75" hidden="false" customHeight="false" outlineLevel="0" collapsed="false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58"/>
      <c r="W429" s="59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</row>
    <row r="430" customFormat="false" ht="15.75" hidden="false" customHeight="false" outlineLevel="0" collapsed="false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58"/>
      <c r="W430" s="59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</row>
    <row r="431" customFormat="false" ht="15.75" hidden="false" customHeight="false" outlineLevel="0" collapsed="false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58"/>
      <c r="W431" s="59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</row>
    <row r="432" customFormat="false" ht="15.75" hidden="false" customHeight="false" outlineLevel="0" collapsed="false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58"/>
      <c r="W432" s="59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</row>
    <row r="433" customFormat="false" ht="15.75" hidden="false" customHeight="false" outlineLevel="0" collapsed="false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58"/>
      <c r="W433" s="59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</row>
    <row r="434" customFormat="false" ht="15.75" hidden="false" customHeight="false" outlineLevel="0" collapsed="false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58"/>
      <c r="W434" s="59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</row>
    <row r="435" customFormat="false" ht="15.75" hidden="false" customHeight="false" outlineLevel="0" collapsed="false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58"/>
      <c r="W435" s="59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</row>
    <row r="436" customFormat="false" ht="15.75" hidden="false" customHeight="false" outlineLevel="0" collapsed="false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58"/>
      <c r="W436" s="59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</row>
    <row r="437" customFormat="false" ht="15.75" hidden="false" customHeight="false" outlineLevel="0" collapsed="false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58"/>
      <c r="W437" s="59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</row>
    <row r="438" customFormat="false" ht="15.75" hidden="false" customHeight="false" outlineLevel="0" collapsed="false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58"/>
      <c r="W438" s="59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</row>
    <row r="439" customFormat="false" ht="15.75" hidden="false" customHeight="false" outlineLevel="0" collapsed="false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58"/>
      <c r="W439" s="59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</row>
    <row r="440" customFormat="false" ht="15.75" hidden="false" customHeight="false" outlineLevel="0" collapsed="false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58"/>
      <c r="W440" s="59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</row>
    <row r="441" customFormat="false" ht="15.75" hidden="false" customHeight="false" outlineLevel="0" collapsed="false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58"/>
      <c r="W441" s="59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</row>
    <row r="442" customFormat="false" ht="15.75" hidden="false" customHeight="false" outlineLevel="0" collapsed="false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58"/>
      <c r="W442" s="59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</row>
    <row r="443" customFormat="false" ht="15.75" hidden="false" customHeight="false" outlineLevel="0" collapsed="false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58"/>
      <c r="W443" s="59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</row>
    <row r="444" customFormat="false" ht="15.75" hidden="false" customHeight="false" outlineLevel="0" collapsed="false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58"/>
      <c r="W444" s="59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</row>
    <row r="445" customFormat="false" ht="15.75" hidden="false" customHeight="false" outlineLevel="0" collapsed="false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58"/>
      <c r="W445" s="59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</row>
    <row r="446" customFormat="false" ht="15.75" hidden="false" customHeight="false" outlineLevel="0" collapsed="false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58"/>
      <c r="W446" s="59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</row>
    <row r="447" customFormat="false" ht="15.75" hidden="false" customHeight="false" outlineLevel="0" collapsed="false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58"/>
      <c r="W447" s="59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</row>
    <row r="448" customFormat="false" ht="15.75" hidden="false" customHeight="false" outlineLevel="0" collapsed="false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58"/>
      <c r="W448" s="59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</row>
    <row r="449" customFormat="false" ht="15.75" hidden="false" customHeight="false" outlineLevel="0" collapsed="false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58"/>
      <c r="W449" s="59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</row>
    <row r="450" customFormat="false" ht="15.75" hidden="false" customHeight="false" outlineLevel="0" collapsed="false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58"/>
      <c r="W450" s="59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</row>
    <row r="451" customFormat="false" ht="15.75" hidden="false" customHeight="false" outlineLevel="0" collapsed="false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58"/>
      <c r="W451" s="59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</row>
    <row r="452" customFormat="false" ht="15.75" hidden="false" customHeight="false" outlineLevel="0" collapsed="false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58"/>
      <c r="W452" s="59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</row>
    <row r="453" customFormat="false" ht="15.75" hidden="false" customHeight="false" outlineLevel="0" collapsed="false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58"/>
      <c r="W453" s="59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</row>
    <row r="454" customFormat="false" ht="15.75" hidden="false" customHeight="false" outlineLevel="0" collapsed="false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58"/>
      <c r="W454" s="59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</row>
    <row r="455" customFormat="false" ht="15.75" hidden="false" customHeight="false" outlineLevel="0" collapsed="false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58"/>
      <c r="W455" s="59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</row>
    <row r="456" customFormat="false" ht="15.75" hidden="false" customHeight="false" outlineLevel="0" collapsed="false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58"/>
      <c r="W456" s="59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</row>
    <row r="457" customFormat="false" ht="15.75" hidden="false" customHeight="false" outlineLevel="0" collapsed="false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58"/>
      <c r="W457" s="59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</row>
    <row r="458" customFormat="false" ht="15.75" hidden="false" customHeight="false" outlineLevel="0" collapsed="false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58"/>
      <c r="W458" s="59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</row>
    <row r="459" customFormat="false" ht="15.75" hidden="false" customHeight="false" outlineLevel="0" collapsed="false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58"/>
      <c r="W459" s="59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</row>
    <row r="460" customFormat="false" ht="15.75" hidden="false" customHeight="false" outlineLevel="0" collapsed="false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58"/>
      <c r="W460" s="59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</row>
    <row r="461" customFormat="false" ht="15.75" hidden="false" customHeight="false" outlineLevel="0" collapsed="false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58"/>
      <c r="W461" s="59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</row>
    <row r="462" customFormat="false" ht="15.75" hidden="false" customHeight="false" outlineLevel="0" collapsed="false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58"/>
      <c r="W462" s="59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</row>
    <row r="463" customFormat="false" ht="15.75" hidden="false" customHeight="false" outlineLevel="0" collapsed="false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58"/>
      <c r="W463" s="59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</row>
    <row r="464" customFormat="false" ht="15.75" hidden="false" customHeight="false" outlineLevel="0" collapsed="false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58"/>
      <c r="W464" s="59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</row>
    <row r="465" customFormat="false" ht="15.75" hidden="false" customHeight="false" outlineLevel="0" collapsed="false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58"/>
      <c r="W465" s="59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</row>
    <row r="466" customFormat="false" ht="15.75" hidden="false" customHeight="false" outlineLevel="0" collapsed="false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58"/>
      <c r="W466" s="59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</row>
    <row r="467" customFormat="false" ht="15.75" hidden="false" customHeight="false" outlineLevel="0" collapsed="false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58"/>
      <c r="W467" s="59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</row>
    <row r="468" customFormat="false" ht="15.75" hidden="false" customHeight="false" outlineLevel="0" collapsed="false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58"/>
      <c r="W468" s="59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</row>
    <row r="469" customFormat="false" ht="15.75" hidden="false" customHeight="false" outlineLevel="0" collapsed="false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58"/>
      <c r="W469" s="59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</row>
    <row r="470" customFormat="false" ht="15.75" hidden="false" customHeight="false" outlineLevel="0" collapsed="false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58"/>
      <c r="W470" s="59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</row>
    <row r="471" customFormat="false" ht="15.75" hidden="false" customHeight="false" outlineLevel="0" collapsed="false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58"/>
      <c r="W471" s="59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</row>
    <row r="472" customFormat="false" ht="15.75" hidden="false" customHeight="false" outlineLevel="0" collapsed="false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58"/>
      <c r="W472" s="59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</row>
    <row r="473" customFormat="false" ht="15.75" hidden="false" customHeight="false" outlineLevel="0" collapsed="false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58"/>
      <c r="W473" s="59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</row>
    <row r="474" customFormat="false" ht="15.75" hidden="false" customHeight="false" outlineLevel="0" collapsed="false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58"/>
      <c r="W474" s="59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</row>
    <row r="475" customFormat="false" ht="15.75" hidden="false" customHeight="false" outlineLevel="0" collapsed="false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58"/>
      <c r="W475" s="59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</row>
    <row r="476" customFormat="false" ht="15.75" hidden="false" customHeight="false" outlineLevel="0" collapsed="false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58"/>
      <c r="W476" s="59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</row>
    <row r="477" customFormat="false" ht="15.75" hidden="false" customHeight="false" outlineLevel="0" collapsed="false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58"/>
      <c r="W477" s="59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</row>
    <row r="478" customFormat="false" ht="15.75" hidden="false" customHeight="false" outlineLevel="0" collapsed="false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58"/>
      <c r="W478" s="59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</row>
    <row r="479" customFormat="false" ht="15.75" hidden="false" customHeight="false" outlineLevel="0" collapsed="false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58"/>
      <c r="W479" s="59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</row>
    <row r="480" customFormat="false" ht="15.75" hidden="false" customHeight="false" outlineLevel="0" collapsed="false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58"/>
      <c r="W480" s="59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</row>
    <row r="481" customFormat="false" ht="15.75" hidden="false" customHeight="false" outlineLevel="0" collapsed="false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58"/>
      <c r="W481" s="59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</row>
    <row r="482" customFormat="false" ht="15.75" hidden="false" customHeight="false" outlineLevel="0" collapsed="false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58"/>
      <c r="W482" s="59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</row>
    <row r="483" customFormat="false" ht="15.75" hidden="false" customHeight="false" outlineLevel="0" collapsed="false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58"/>
      <c r="W483" s="59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</row>
    <row r="484" customFormat="false" ht="15.75" hidden="false" customHeight="false" outlineLevel="0" collapsed="false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58"/>
      <c r="W484" s="59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</row>
    <row r="485" customFormat="false" ht="15.75" hidden="false" customHeight="false" outlineLevel="0" collapsed="false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58"/>
      <c r="W485" s="59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</row>
    <row r="486" customFormat="false" ht="15.75" hidden="false" customHeight="false" outlineLevel="0" collapsed="false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58"/>
      <c r="W486" s="59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</row>
    <row r="487" customFormat="false" ht="15.75" hidden="false" customHeight="false" outlineLevel="0" collapsed="false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58"/>
      <c r="W487" s="59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</row>
    <row r="488" customFormat="false" ht="15.75" hidden="false" customHeight="false" outlineLevel="0" collapsed="false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58"/>
      <c r="W488" s="59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</row>
    <row r="489" customFormat="false" ht="15.75" hidden="false" customHeight="false" outlineLevel="0" collapsed="false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58"/>
      <c r="W489" s="59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</row>
    <row r="490" customFormat="false" ht="15.75" hidden="false" customHeight="false" outlineLevel="0" collapsed="false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58"/>
      <c r="W490" s="59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</row>
    <row r="491" customFormat="false" ht="15.75" hidden="false" customHeight="false" outlineLevel="0" collapsed="false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58"/>
      <c r="W491" s="59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</row>
    <row r="492" customFormat="false" ht="15.75" hidden="false" customHeight="false" outlineLevel="0" collapsed="false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58"/>
      <c r="W492" s="59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</row>
    <row r="493" customFormat="false" ht="15.75" hidden="false" customHeight="false" outlineLevel="0" collapsed="false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58"/>
      <c r="W493" s="59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</row>
    <row r="494" customFormat="false" ht="15.75" hidden="false" customHeight="false" outlineLevel="0" collapsed="false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58"/>
      <c r="W494" s="59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</row>
    <row r="495" customFormat="false" ht="15.75" hidden="false" customHeight="false" outlineLevel="0" collapsed="false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58"/>
      <c r="W495" s="59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</row>
    <row r="496" customFormat="false" ht="15.75" hidden="false" customHeight="false" outlineLevel="0" collapsed="false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58"/>
      <c r="W496" s="59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</row>
    <row r="497" customFormat="false" ht="15.75" hidden="false" customHeight="false" outlineLevel="0" collapsed="false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58"/>
      <c r="W497" s="59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</row>
    <row r="498" customFormat="false" ht="15.75" hidden="false" customHeight="false" outlineLevel="0" collapsed="false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58"/>
      <c r="W498" s="59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</row>
    <row r="499" customFormat="false" ht="15.75" hidden="false" customHeight="false" outlineLevel="0" collapsed="false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58"/>
      <c r="W499" s="59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</row>
    <row r="500" customFormat="false" ht="15.75" hidden="false" customHeight="false" outlineLevel="0" collapsed="false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58"/>
      <c r="W500" s="59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</row>
    <row r="501" customFormat="false" ht="15.75" hidden="false" customHeight="false" outlineLevel="0" collapsed="false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58"/>
      <c r="W501" s="59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</row>
    <row r="502" customFormat="false" ht="15.75" hidden="false" customHeight="false" outlineLevel="0" collapsed="false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58"/>
      <c r="W502" s="59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</row>
    <row r="503" customFormat="false" ht="15.75" hidden="false" customHeight="false" outlineLevel="0" collapsed="false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58"/>
      <c r="W503" s="59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</row>
    <row r="504" customFormat="false" ht="15.75" hidden="false" customHeight="false" outlineLevel="0" collapsed="false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58"/>
      <c r="W504" s="59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</row>
    <row r="505" customFormat="false" ht="15.75" hidden="false" customHeight="false" outlineLevel="0" collapsed="false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58"/>
      <c r="W505" s="59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</row>
    <row r="506" customFormat="false" ht="15.75" hidden="false" customHeight="false" outlineLevel="0" collapsed="false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58"/>
      <c r="W506" s="59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</row>
    <row r="507" customFormat="false" ht="15.75" hidden="false" customHeight="false" outlineLevel="0" collapsed="false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58"/>
      <c r="W507" s="59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</row>
    <row r="508" customFormat="false" ht="15.75" hidden="false" customHeight="false" outlineLevel="0" collapsed="false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58"/>
      <c r="W508" s="59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</row>
    <row r="509" customFormat="false" ht="15.75" hidden="false" customHeight="false" outlineLevel="0" collapsed="false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58"/>
      <c r="W509" s="59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</row>
    <row r="510" customFormat="false" ht="15.75" hidden="false" customHeight="false" outlineLevel="0" collapsed="false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58"/>
      <c r="W510" s="59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</row>
    <row r="511" customFormat="false" ht="15.75" hidden="false" customHeight="false" outlineLevel="0" collapsed="false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58"/>
      <c r="W511" s="59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</row>
    <row r="512" customFormat="false" ht="15.75" hidden="false" customHeight="false" outlineLevel="0" collapsed="false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58"/>
      <c r="W512" s="59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</row>
    <row r="513" customFormat="false" ht="15.75" hidden="false" customHeight="false" outlineLevel="0" collapsed="false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58"/>
      <c r="W513" s="59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</row>
    <row r="514" customFormat="false" ht="15.75" hidden="false" customHeight="false" outlineLevel="0" collapsed="false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58"/>
      <c r="W514" s="59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</row>
    <row r="515" customFormat="false" ht="15.75" hidden="false" customHeight="false" outlineLevel="0" collapsed="false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58"/>
      <c r="W515" s="59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</row>
    <row r="516" customFormat="false" ht="15.75" hidden="false" customHeight="false" outlineLevel="0" collapsed="false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58"/>
      <c r="W516" s="59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</row>
    <row r="517" customFormat="false" ht="15.75" hidden="false" customHeight="false" outlineLevel="0" collapsed="false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58"/>
      <c r="W517" s="59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</row>
    <row r="518" customFormat="false" ht="15.75" hidden="false" customHeight="false" outlineLevel="0" collapsed="false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58"/>
      <c r="W518" s="59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</row>
    <row r="519" customFormat="false" ht="15.75" hidden="false" customHeight="false" outlineLevel="0" collapsed="false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58"/>
      <c r="W519" s="59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</row>
    <row r="520" customFormat="false" ht="15.75" hidden="false" customHeight="false" outlineLevel="0" collapsed="false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58"/>
      <c r="W520" s="59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</row>
    <row r="521" customFormat="false" ht="15.75" hidden="false" customHeight="false" outlineLevel="0" collapsed="false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58"/>
      <c r="W521" s="59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</row>
    <row r="522" customFormat="false" ht="15.75" hidden="false" customHeight="false" outlineLevel="0" collapsed="false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58"/>
      <c r="W522" s="59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</row>
    <row r="523" customFormat="false" ht="15.75" hidden="false" customHeight="false" outlineLevel="0" collapsed="false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58"/>
      <c r="W523" s="59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</row>
    <row r="524" customFormat="false" ht="15.75" hidden="false" customHeight="false" outlineLevel="0" collapsed="false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58"/>
      <c r="W524" s="59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</row>
    <row r="525" customFormat="false" ht="15.75" hidden="false" customHeight="false" outlineLevel="0" collapsed="false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58"/>
      <c r="W525" s="59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</row>
    <row r="526" customFormat="false" ht="15.75" hidden="false" customHeight="false" outlineLevel="0" collapsed="false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58"/>
      <c r="W526" s="59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</row>
    <row r="527" customFormat="false" ht="15.75" hidden="false" customHeight="false" outlineLevel="0" collapsed="false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58"/>
      <c r="W527" s="59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</row>
    <row r="528" customFormat="false" ht="15.75" hidden="false" customHeight="false" outlineLevel="0" collapsed="false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58"/>
      <c r="W528" s="59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</row>
    <row r="529" customFormat="false" ht="15.75" hidden="false" customHeight="false" outlineLevel="0" collapsed="false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58"/>
      <c r="W529" s="59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</row>
    <row r="530" customFormat="false" ht="15.75" hidden="false" customHeight="false" outlineLevel="0" collapsed="false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58"/>
      <c r="W530" s="59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</row>
    <row r="531" customFormat="false" ht="15.75" hidden="false" customHeight="false" outlineLevel="0" collapsed="false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58"/>
      <c r="W531" s="59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</row>
    <row r="532" customFormat="false" ht="15.75" hidden="false" customHeight="false" outlineLevel="0" collapsed="false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58"/>
      <c r="W532" s="59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</row>
    <row r="533" customFormat="false" ht="15.75" hidden="false" customHeight="false" outlineLevel="0" collapsed="false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58"/>
      <c r="W533" s="59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</row>
    <row r="534" customFormat="false" ht="15.75" hidden="false" customHeight="false" outlineLevel="0" collapsed="false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58"/>
      <c r="W534" s="59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</row>
    <row r="535" customFormat="false" ht="15.75" hidden="false" customHeight="false" outlineLevel="0" collapsed="false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58"/>
      <c r="W535" s="59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</row>
    <row r="536" customFormat="false" ht="15.75" hidden="false" customHeight="false" outlineLevel="0" collapsed="false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58"/>
      <c r="W536" s="59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</row>
    <row r="537" customFormat="false" ht="15.75" hidden="false" customHeight="false" outlineLevel="0" collapsed="false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58"/>
      <c r="W537" s="59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</row>
    <row r="538" customFormat="false" ht="15.75" hidden="false" customHeight="false" outlineLevel="0" collapsed="false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58"/>
      <c r="W538" s="59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</row>
    <row r="539" customFormat="false" ht="15.75" hidden="false" customHeight="false" outlineLevel="0" collapsed="false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58"/>
      <c r="W539" s="59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</row>
    <row r="540" customFormat="false" ht="15.75" hidden="false" customHeight="false" outlineLevel="0" collapsed="false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58"/>
      <c r="W540" s="59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</row>
    <row r="541" customFormat="false" ht="15.75" hidden="false" customHeight="false" outlineLevel="0" collapsed="false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58"/>
      <c r="W541" s="59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</row>
    <row r="542" customFormat="false" ht="15.75" hidden="false" customHeight="false" outlineLevel="0" collapsed="false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58"/>
      <c r="W542" s="59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</row>
    <row r="543" customFormat="false" ht="15.75" hidden="false" customHeight="false" outlineLevel="0" collapsed="false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58"/>
      <c r="W543" s="59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</row>
    <row r="544" customFormat="false" ht="15.75" hidden="false" customHeight="false" outlineLevel="0" collapsed="false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58"/>
      <c r="W544" s="59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</row>
    <row r="545" customFormat="false" ht="15.75" hidden="false" customHeight="false" outlineLevel="0" collapsed="false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58"/>
      <c r="W545" s="59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</row>
    <row r="546" customFormat="false" ht="15.75" hidden="false" customHeight="false" outlineLevel="0" collapsed="false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58"/>
      <c r="W546" s="59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</row>
    <row r="547" customFormat="false" ht="15.75" hidden="false" customHeight="false" outlineLevel="0" collapsed="false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58"/>
      <c r="W547" s="59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</row>
    <row r="548" customFormat="false" ht="15.75" hidden="false" customHeight="false" outlineLevel="0" collapsed="false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58"/>
      <c r="W548" s="59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</row>
    <row r="549" customFormat="false" ht="15.75" hidden="false" customHeight="false" outlineLevel="0" collapsed="false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58"/>
      <c r="W549" s="59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</row>
    <row r="550" customFormat="false" ht="15.75" hidden="false" customHeight="false" outlineLevel="0" collapsed="false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58"/>
      <c r="W550" s="59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</row>
    <row r="551" customFormat="false" ht="15.75" hidden="false" customHeight="false" outlineLevel="0" collapsed="false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58"/>
      <c r="W551" s="59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</row>
    <row r="552" customFormat="false" ht="15.75" hidden="false" customHeight="false" outlineLevel="0" collapsed="false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58"/>
      <c r="W552" s="59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</row>
    <row r="553" customFormat="false" ht="15.75" hidden="false" customHeight="false" outlineLevel="0" collapsed="false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58"/>
      <c r="W553" s="59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</row>
    <row r="554" customFormat="false" ht="15.75" hidden="false" customHeight="false" outlineLevel="0" collapsed="false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58"/>
      <c r="W554" s="59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</row>
    <row r="555" customFormat="false" ht="15.75" hidden="false" customHeight="false" outlineLevel="0" collapsed="false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58"/>
      <c r="W555" s="59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</row>
    <row r="556" customFormat="false" ht="15.75" hidden="false" customHeight="false" outlineLevel="0" collapsed="false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58"/>
      <c r="W556" s="59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</row>
    <row r="557" customFormat="false" ht="15.75" hidden="false" customHeight="false" outlineLevel="0" collapsed="false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58"/>
      <c r="W557" s="59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</row>
    <row r="558" customFormat="false" ht="15.75" hidden="false" customHeight="false" outlineLevel="0" collapsed="false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58"/>
      <c r="W558" s="59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</row>
    <row r="559" customFormat="false" ht="15.75" hidden="false" customHeight="false" outlineLevel="0" collapsed="false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58"/>
      <c r="W559" s="59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</row>
    <row r="560" customFormat="false" ht="15.75" hidden="false" customHeight="false" outlineLevel="0" collapsed="false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58"/>
      <c r="W560" s="59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</row>
    <row r="561" customFormat="false" ht="15.75" hidden="false" customHeight="false" outlineLevel="0" collapsed="false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58"/>
      <c r="W561" s="59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</row>
    <row r="562" customFormat="false" ht="15.75" hidden="false" customHeight="false" outlineLevel="0" collapsed="false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58"/>
      <c r="W562" s="59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</row>
    <row r="563" customFormat="false" ht="15.75" hidden="false" customHeight="false" outlineLevel="0" collapsed="false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58"/>
      <c r="W563" s="59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</row>
    <row r="564" customFormat="false" ht="15.75" hidden="false" customHeight="false" outlineLevel="0" collapsed="false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58"/>
      <c r="W564" s="59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</row>
    <row r="565" customFormat="false" ht="15.75" hidden="false" customHeight="false" outlineLevel="0" collapsed="false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58"/>
      <c r="W565" s="59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</row>
    <row r="566" customFormat="false" ht="15.75" hidden="false" customHeight="false" outlineLevel="0" collapsed="false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58"/>
      <c r="W566" s="59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</row>
    <row r="567" customFormat="false" ht="15.75" hidden="false" customHeight="false" outlineLevel="0" collapsed="false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58"/>
      <c r="W567" s="59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</row>
    <row r="568" customFormat="false" ht="15.75" hidden="false" customHeight="false" outlineLevel="0" collapsed="false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58"/>
      <c r="W568" s="59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</row>
    <row r="569" customFormat="false" ht="15.75" hidden="false" customHeight="false" outlineLevel="0" collapsed="false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58"/>
      <c r="W569" s="59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</row>
    <row r="570" customFormat="false" ht="15.75" hidden="false" customHeight="false" outlineLevel="0" collapsed="false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58"/>
      <c r="W570" s="59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</row>
    <row r="571" customFormat="false" ht="15.75" hidden="false" customHeight="false" outlineLevel="0" collapsed="false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58"/>
      <c r="W571" s="59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</row>
    <row r="572" customFormat="false" ht="15.75" hidden="false" customHeight="false" outlineLevel="0" collapsed="false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58"/>
      <c r="W572" s="59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</row>
    <row r="573" customFormat="false" ht="15.75" hidden="false" customHeight="false" outlineLevel="0" collapsed="false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58"/>
      <c r="W573" s="59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</row>
    <row r="574" customFormat="false" ht="15.75" hidden="false" customHeight="false" outlineLevel="0" collapsed="false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58"/>
      <c r="W574" s="59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</row>
    <row r="575" customFormat="false" ht="15.75" hidden="false" customHeight="false" outlineLevel="0" collapsed="false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58"/>
      <c r="W575" s="59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</row>
    <row r="576" customFormat="false" ht="15.75" hidden="false" customHeight="false" outlineLevel="0" collapsed="false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58"/>
      <c r="W576" s="59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</row>
    <row r="577" customFormat="false" ht="15.75" hidden="false" customHeight="false" outlineLevel="0" collapsed="false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58"/>
      <c r="W577" s="59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</row>
    <row r="578" customFormat="false" ht="15.75" hidden="false" customHeight="false" outlineLevel="0" collapsed="false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58"/>
      <c r="W578" s="59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</row>
    <row r="579" customFormat="false" ht="15.75" hidden="false" customHeight="false" outlineLevel="0" collapsed="false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58"/>
      <c r="W579" s="59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</row>
    <row r="580" customFormat="false" ht="15.75" hidden="false" customHeight="false" outlineLevel="0" collapsed="false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58"/>
      <c r="W580" s="59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</row>
    <row r="581" customFormat="false" ht="15.75" hidden="false" customHeight="false" outlineLevel="0" collapsed="false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58"/>
      <c r="W581" s="59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</row>
    <row r="582" customFormat="false" ht="15.75" hidden="false" customHeight="false" outlineLevel="0" collapsed="false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58"/>
      <c r="W582" s="59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</row>
    <row r="583" customFormat="false" ht="15.75" hidden="false" customHeight="false" outlineLevel="0" collapsed="false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58"/>
      <c r="W583" s="59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</row>
    <row r="584" customFormat="false" ht="15.75" hidden="false" customHeight="false" outlineLevel="0" collapsed="false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58"/>
      <c r="W584" s="59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</row>
    <row r="585" customFormat="false" ht="15.75" hidden="false" customHeight="false" outlineLevel="0" collapsed="false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58"/>
      <c r="W585" s="59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</row>
    <row r="586" customFormat="false" ht="15.75" hidden="false" customHeight="false" outlineLevel="0" collapsed="false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58"/>
      <c r="W586" s="59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</row>
    <row r="587" customFormat="false" ht="15.75" hidden="false" customHeight="false" outlineLevel="0" collapsed="false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58"/>
      <c r="W587" s="59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</row>
    <row r="588" customFormat="false" ht="15.75" hidden="false" customHeight="false" outlineLevel="0" collapsed="false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58"/>
      <c r="W588" s="59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</row>
    <row r="589" customFormat="false" ht="15.75" hidden="false" customHeight="false" outlineLevel="0" collapsed="false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58"/>
      <c r="W589" s="59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</row>
    <row r="590" customFormat="false" ht="15.75" hidden="false" customHeight="false" outlineLevel="0" collapsed="false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58"/>
      <c r="W590" s="59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</row>
    <row r="591" customFormat="false" ht="15.75" hidden="false" customHeight="false" outlineLevel="0" collapsed="false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58"/>
      <c r="W591" s="59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</row>
    <row r="592" customFormat="false" ht="15.75" hidden="false" customHeight="false" outlineLevel="0" collapsed="false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58"/>
      <c r="W592" s="59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</row>
    <row r="593" customFormat="false" ht="15.75" hidden="false" customHeight="false" outlineLevel="0" collapsed="false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58"/>
      <c r="W593" s="59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</row>
    <row r="594" customFormat="false" ht="15.75" hidden="false" customHeight="false" outlineLevel="0" collapsed="false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58"/>
      <c r="W594" s="59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</row>
    <row r="595" customFormat="false" ht="15.75" hidden="false" customHeight="false" outlineLevel="0" collapsed="false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58"/>
      <c r="W595" s="59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</row>
    <row r="596" customFormat="false" ht="15.75" hidden="false" customHeight="false" outlineLevel="0" collapsed="false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58"/>
      <c r="W596" s="59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</row>
    <row r="597" customFormat="false" ht="15.75" hidden="false" customHeight="false" outlineLevel="0" collapsed="false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58"/>
      <c r="W597" s="59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</row>
    <row r="598" customFormat="false" ht="15.75" hidden="false" customHeight="false" outlineLevel="0" collapsed="false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58"/>
      <c r="W598" s="59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</row>
    <row r="599" customFormat="false" ht="15.75" hidden="false" customHeight="false" outlineLevel="0" collapsed="false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58"/>
      <c r="W599" s="59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</row>
    <row r="600" customFormat="false" ht="15.75" hidden="false" customHeight="false" outlineLevel="0" collapsed="false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58"/>
      <c r="W600" s="59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</row>
    <row r="601" customFormat="false" ht="15.75" hidden="false" customHeight="false" outlineLevel="0" collapsed="false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58"/>
      <c r="W601" s="59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</row>
    <row r="602" customFormat="false" ht="15.75" hidden="false" customHeight="false" outlineLevel="0" collapsed="false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58"/>
      <c r="W602" s="59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</row>
    <row r="603" customFormat="false" ht="15.75" hidden="false" customHeight="false" outlineLevel="0" collapsed="false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58"/>
      <c r="W603" s="59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</row>
    <row r="604" customFormat="false" ht="15.75" hidden="false" customHeight="false" outlineLevel="0" collapsed="false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58"/>
      <c r="W604" s="59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</row>
    <row r="605" customFormat="false" ht="15.75" hidden="false" customHeight="false" outlineLevel="0" collapsed="false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58"/>
      <c r="W605" s="59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</row>
    <row r="606" customFormat="false" ht="15.75" hidden="false" customHeight="false" outlineLevel="0" collapsed="false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58"/>
      <c r="W606" s="59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</row>
    <row r="607" customFormat="false" ht="15.75" hidden="false" customHeight="false" outlineLevel="0" collapsed="false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58"/>
      <c r="W607" s="59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</row>
    <row r="608" customFormat="false" ht="15.75" hidden="false" customHeight="false" outlineLevel="0" collapsed="false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58"/>
      <c r="W608" s="59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</row>
    <row r="609" customFormat="false" ht="15.75" hidden="false" customHeight="false" outlineLevel="0" collapsed="false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58"/>
      <c r="W609" s="59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</row>
    <row r="610" customFormat="false" ht="15.75" hidden="false" customHeight="false" outlineLevel="0" collapsed="false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58"/>
      <c r="W610" s="59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</row>
    <row r="611" customFormat="false" ht="15.75" hidden="false" customHeight="false" outlineLevel="0" collapsed="false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58"/>
      <c r="W611" s="59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</row>
    <row r="612" customFormat="false" ht="15.75" hidden="false" customHeight="false" outlineLevel="0" collapsed="false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58"/>
      <c r="W612" s="59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</row>
    <row r="613" customFormat="false" ht="15.75" hidden="false" customHeight="false" outlineLevel="0" collapsed="false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58"/>
      <c r="W613" s="59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</row>
    <row r="614" customFormat="false" ht="15.75" hidden="false" customHeight="false" outlineLevel="0" collapsed="false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58"/>
      <c r="W614" s="59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</row>
    <row r="615" customFormat="false" ht="15.75" hidden="false" customHeight="false" outlineLevel="0" collapsed="false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58"/>
      <c r="W615" s="59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</row>
    <row r="616" customFormat="false" ht="15.75" hidden="false" customHeight="false" outlineLevel="0" collapsed="false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58"/>
      <c r="W616" s="59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</row>
    <row r="617" customFormat="false" ht="15.75" hidden="false" customHeight="false" outlineLevel="0" collapsed="false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58"/>
      <c r="W617" s="59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</row>
    <row r="618" customFormat="false" ht="15.75" hidden="false" customHeight="false" outlineLevel="0" collapsed="false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58"/>
      <c r="W618" s="59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</row>
    <row r="619" customFormat="false" ht="15.75" hidden="false" customHeight="false" outlineLevel="0" collapsed="false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58"/>
      <c r="W619" s="59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</row>
    <row r="620" customFormat="false" ht="15.75" hidden="false" customHeight="false" outlineLevel="0" collapsed="false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58"/>
      <c r="W620" s="59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</row>
    <row r="621" customFormat="false" ht="15.75" hidden="false" customHeight="false" outlineLevel="0" collapsed="false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58"/>
      <c r="W621" s="59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</row>
    <row r="622" customFormat="false" ht="15.75" hidden="false" customHeight="false" outlineLevel="0" collapsed="false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58"/>
      <c r="W622" s="59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</row>
    <row r="623" customFormat="false" ht="15.75" hidden="false" customHeight="false" outlineLevel="0" collapsed="false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58"/>
      <c r="W623" s="59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</row>
    <row r="624" customFormat="false" ht="15.75" hidden="false" customHeight="false" outlineLevel="0" collapsed="false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58"/>
      <c r="W624" s="59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</row>
    <row r="625" customFormat="false" ht="15.75" hidden="false" customHeight="false" outlineLevel="0" collapsed="false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58"/>
      <c r="W625" s="59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</row>
    <row r="626" customFormat="false" ht="15.75" hidden="false" customHeight="false" outlineLevel="0" collapsed="false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58"/>
      <c r="W626" s="59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</row>
    <row r="627" customFormat="false" ht="15.75" hidden="false" customHeight="false" outlineLevel="0" collapsed="false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58"/>
      <c r="W627" s="59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</row>
    <row r="628" customFormat="false" ht="15.75" hidden="false" customHeight="false" outlineLevel="0" collapsed="false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58"/>
      <c r="W628" s="59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</row>
    <row r="629" customFormat="false" ht="15.75" hidden="false" customHeight="false" outlineLevel="0" collapsed="false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58"/>
      <c r="W629" s="59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</row>
    <row r="630" customFormat="false" ht="15.75" hidden="false" customHeight="false" outlineLevel="0" collapsed="false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58"/>
      <c r="W630" s="59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</row>
    <row r="631" customFormat="false" ht="15.75" hidden="false" customHeight="false" outlineLevel="0" collapsed="false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58"/>
      <c r="W631" s="59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</row>
    <row r="632" customFormat="false" ht="15.75" hidden="false" customHeight="false" outlineLevel="0" collapsed="false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58"/>
      <c r="W632" s="59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</row>
    <row r="633" customFormat="false" ht="15.75" hidden="false" customHeight="false" outlineLevel="0" collapsed="false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58"/>
      <c r="W633" s="59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</row>
    <row r="634" customFormat="false" ht="15.75" hidden="false" customHeight="false" outlineLevel="0" collapsed="false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58"/>
      <c r="W634" s="59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</row>
    <row r="635" customFormat="false" ht="15.75" hidden="false" customHeight="false" outlineLevel="0" collapsed="false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58"/>
      <c r="W635" s="59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</row>
    <row r="636" customFormat="false" ht="15.75" hidden="false" customHeight="false" outlineLevel="0" collapsed="false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58"/>
      <c r="W636" s="59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</row>
    <row r="637" customFormat="false" ht="15.75" hidden="false" customHeight="false" outlineLevel="0" collapsed="false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58"/>
      <c r="W637" s="59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</row>
    <row r="638" customFormat="false" ht="15.75" hidden="false" customHeight="false" outlineLevel="0" collapsed="false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58"/>
      <c r="W638" s="59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</row>
    <row r="639" customFormat="false" ht="15.75" hidden="false" customHeight="false" outlineLevel="0" collapsed="false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58"/>
      <c r="W639" s="59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</row>
    <row r="640" customFormat="false" ht="15.75" hidden="false" customHeight="false" outlineLevel="0" collapsed="false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58"/>
      <c r="W640" s="59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</row>
    <row r="641" customFormat="false" ht="15.75" hidden="false" customHeight="false" outlineLevel="0" collapsed="false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58"/>
      <c r="W641" s="59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</row>
    <row r="642" customFormat="false" ht="15.75" hidden="false" customHeight="false" outlineLevel="0" collapsed="false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58"/>
      <c r="W642" s="59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</row>
    <row r="643" customFormat="false" ht="15.75" hidden="false" customHeight="false" outlineLevel="0" collapsed="false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58"/>
      <c r="W643" s="59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</row>
    <row r="644" customFormat="false" ht="15.75" hidden="false" customHeight="false" outlineLevel="0" collapsed="false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58"/>
      <c r="W644" s="59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</row>
    <row r="645" customFormat="false" ht="15.75" hidden="false" customHeight="false" outlineLevel="0" collapsed="false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58"/>
      <c r="W645" s="59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</row>
    <row r="646" customFormat="false" ht="15.75" hidden="false" customHeight="false" outlineLevel="0" collapsed="false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58"/>
      <c r="W646" s="59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</row>
    <row r="647" customFormat="false" ht="15.75" hidden="false" customHeight="false" outlineLevel="0" collapsed="false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58"/>
      <c r="W647" s="59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</row>
    <row r="648" customFormat="false" ht="15.75" hidden="false" customHeight="false" outlineLevel="0" collapsed="false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58"/>
      <c r="W648" s="59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</row>
    <row r="649" customFormat="false" ht="15.75" hidden="false" customHeight="false" outlineLevel="0" collapsed="false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58"/>
      <c r="W649" s="59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</row>
    <row r="650" customFormat="false" ht="15.75" hidden="false" customHeight="false" outlineLevel="0" collapsed="false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58"/>
      <c r="W650" s="59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</row>
    <row r="651" customFormat="false" ht="15.75" hidden="false" customHeight="false" outlineLevel="0" collapsed="false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58"/>
      <c r="W651" s="59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</row>
    <row r="652" customFormat="false" ht="15.75" hidden="false" customHeight="false" outlineLevel="0" collapsed="false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58"/>
      <c r="W652" s="59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</row>
    <row r="653" customFormat="false" ht="15.75" hidden="false" customHeight="false" outlineLevel="0" collapsed="false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58"/>
      <c r="W653" s="59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</row>
    <row r="654" customFormat="false" ht="15.75" hidden="false" customHeight="false" outlineLevel="0" collapsed="false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58"/>
      <c r="W654" s="59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</row>
    <row r="655" customFormat="false" ht="15.75" hidden="false" customHeight="false" outlineLevel="0" collapsed="false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58"/>
      <c r="W655" s="59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</row>
    <row r="656" customFormat="false" ht="15.75" hidden="false" customHeight="false" outlineLevel="0" collapsed="false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58"/>
      <c r="W656" s="59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</row>
    <row r="657" customFormat="false" ht="15.75" hidden="false" customHeight="false" outlineLevel="0" collapsed="false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58"/>
      <c r="W657" s="59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</row>
    <row r="658" customFormat="false" ht="15.75" hidden="false" customHeight="false" outlineLevel="0" collapsed="false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58"/>
      <c r="W658" s="59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</row>
    <row r="659" customFormat="false" ht="15.75" hidden="false" customHeight="false" outlineLevel="0" collapsed="false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58"/>
      <c r="W659" s="59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</row>
    <row r="660" customFormat="false" ht="15.75" hidden="false" customHeight="false" outlineLevel="0" collapsed="false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58"/>
      <c r="W660" s="59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</row>
    <row r="661" customFormat="false" ht="15.75" hidden="false" customHeight="false" outlineLevel="0" collapsed="false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58"/>
      <c r="W661" s="59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</row>
    <row r="662" customFormat="false" ht="15.75" hidden="false" customHeight="false" outlineLevel="0" collapsed="false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58"/>
      <c r="W662" s="59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</row>
    <row r="663" customFormat="false" ht="15.75" hidden="false" customHeight="false" outlineLevel="0" collapsed="false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58"/>
      <c r="W663" s="59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</row>
    <row r="664" customFormat="false" ht="15.75" hidden="false" customHeight="false" outlineLevel="0" collapsed="false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58"/>
      <c r="W664" s="59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</row>
    <row r="665" customFormat="false" ht="15.75" hidden="false" customHeight="false" outlineLevel="0" collapsed="false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58"/>
      <c r="W665" s="59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</row>
    <row r="666" customFormat="false" ht="15.75" hidden="false" customHeight="false" outlineLevel="0" collapsed="false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58"/>
      <c r="W666" s="59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</row>
    <row r="667" customFormat="false" ht="15.75" hidden="false" customHeight="false" outlineLevel="0" collapsed="false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58"/>
      <c r="W667" s="59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</row>
    <row r="668" customFormat="false" ht="15.75" hidden="false" customHeight="false" outlineLevel="0" collapsed="false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58"/>
      <c r="W668" s="59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</row>
    <row r="669" customFormat="false" ht="15.75" hidden="false" customHeight="false" outlineLevel="0" collapsed="false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58"/>
      <c r="W669" s="59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</row>
    <row r="670" customFormat="false" ht="15.75" hidden="false" customHeight="false" outlineLevel="0" collapsed="false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58"/>
      <c r="W670" s="59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</row>
    <row r="671" customFormat="false" ht="15.75" hidden="false" customHeight="false" outlineLevel="0" collapsed="false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58"/>
      <c r="W671" s="59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</row>
    <row r="672" customFormat="false" ht="15.75" hidden="false" customHeight="false" outlineLevel="0" collapsed="false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58"/>
      <c r="W672" s="59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</row>
    <row r="673" customFormat="false" ht="15.75" hidden="false" customHeight="false" outlineLevel="0" collapsed="false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58"/>
      <c r="W673" s="59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</row>
    <row r="674" customFormat="false" ht="15.75" hidden="false" customHeight="false" outlineLevel="0" collapsed="false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58"/>
      <c r="W674" s="59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</row>
    <row r="675" customFormat="false" ht="15.75" hidden="false" customHeight="false" outlineLevel="0" collapsed="false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58"/>
      <c r="W675" s="59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</row>
    <row r="676" customFormat="false" ht="15.75" hidden="false" customHeight="false" outlineLevel="0" collapsed="false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58"/>
      <c r="W676" s="59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</row>
    <row r="677" customFormat="false" ht="15.75" hidden="false" customHeight="false" outlineLevel="0" collapsed="false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58"/>
      <c r="W677" s="59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</row>
    <row r="678" customFormat="false" ht="15.75" hidden="false" customHeight="false" outlineLevel="0" collapsed="false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58"/>
      <c r="W678" s="59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</row>
    <row r="679" customFormat="false" ht="15.75" hidden="false" customHeight="false" outlineLevel="0" collapsed="false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58"/>
      <c r="W679" s="59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</row>
    <row r="680" customFormat="false" ht="15.75" hidden="false" customHeight="false" outlineLevel="0" collapsed="false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58"/>
      <c r="W680" s="59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</row>
    <row r="681" customFormat="false" ht="15.75" hidden="false" customHeight="false" outlineLevel="0" collapsed="false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58"/>
      <c r="W681" s="59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</row>
    <row r="682" customFormat="false" ht="15.75" hidden="false" customHeight="false" outlineLevel="0" collapsed="false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58"/>
      <c r="W682" s="59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</row>
    <row r="683" customFormat="false" ht="15.75" hidden="false" customHeight="false" outlineLevel="0" collapsed="false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58"/>
      <c r="W683" s="59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</row>
    <row r="684" customFormat="false" ht="15.75" hidden="false" customHeight="false" outlineLevel="0" collapsed="false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58"/>
      <c r="W684" s="59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</row>
    <row r="685" customFormat="false" ht="15.75" hidden="false" customHeight="false" outlineLevel="0" collapsed="false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58"/>
      <c r="W685" s="59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</row>
    <row r="686" customFormat="false" ht="15.75" hidden="false" customHeight="false" outlineLevel="0" collapsed="false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58"/>
      <c r="W686" s="59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</row>
    <row r="687" customFormat="false" ht="15.75" hidden="false" customHeight="false" outlineLevel="0" collapsed="false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58"/>
      <c r="W687" s="59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</row>
    <row r="688" customFormat="false" ht="15.75" hidden="false" customHeight="false" outlineLevel="0" collapsed="false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58"/>
      <c r="W688" s="59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</row>
    <row r="689" customFormat="false" ht="15.75" hidden="false" customHeight="false" outlineLevel="0" collapsed="false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58"/>
      <c r="W689" s="59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</row>
    <row r="690" customFormat="false" ht="15.75" hidden="false" customHeight="false" outlineLevel="0" collapsed="false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58"/>
      <c r="W690" s="59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</row>
    <row r="691" customFormat="false" ht="15.75" hidden="false" customHeight="false" outlineLevel="0" collapsed="false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58"/>
      <c r="W691" s="59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</row>
    <row r="692" customFormat="false" ht="15.75" hidden="false" customHeight="false" outlineLevel="0" collapsed="false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58"/>
      <c r="W692" s="59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</row>
    <row r="693" customFormat="false" ht="15.75" hidden="false" customHeight="false" outlineLevel="0" collapsed="false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58"/>
      <c r="W693" s="59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</row>
    <row r="694" customFormat="false" ht="15.75" hidden="false" customHeight="false" outlineLevel="0" collapsed="false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58"/>
      <c r="W694" s="59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</row>
    <row r="695" customFormat="false" ht="15.75" hidden="false" customHeight="false" outlineLevel="0" collapsed="false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58"/>
      <c r="W695" s="59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</row>
    <row r="696" customFormat="false" ht="15.75" hidden="false" customHeight="false" outlineLevel="0" collapsed="false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58"/>
      <c r="W696" s="59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</row>
    <row r="697" customFormat="false" ht="15.75" hidden="false" customHeight="false" outlineLevel="0" collapsed="false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58"/>
      <c r="W697" s="59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</row>
    <row r="698" customFormat="false" ht="15.75" hidden="false" customHeight="false" outlineLevel="0" collapsed="false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58"/>
      <c r="W698" s="59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</row>
    <row r="699" customFormat="false" ht="15.75" hidden="false" customHeight="false" outlineLevel="0" collapsed="false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58"/>
      <c r="W699" s="59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</row>
    <row r="700" customFormat="false" ht="15.75" hidden="false" customHeight="false" outlineLevel="0" collapsed="false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58"/>
      <c r="W700" s="59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</row>
    <row r="701" customFormat="false" ht="15.75" hidden="false" customHeight="false" outlineLevel="0" collapsed="false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58"/>
      <c r="W701" s="59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</row>
    <row r="702" customFormat="false" ht="15.75" hidden="false" customHeight="false" outlineLevel="0" collapsed="false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58"/>
      <c r="W702" s="59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</row>
    <row r="703" customFormat="false" ht="15.75" hidden="false" customHeight="false" outlineLevel="0" collapsed="false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58"/>
      <c r="W703" s="59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</row>
    <row r="704" customFormat="false" ht="15.75" hidden="false" customHeight="false" outlineLevel="0" collapsed="false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58"/>
      <c r="W704" s="59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</row>
    <row r="705" customFormat="false" ht="15.75" hidden="false" customHeight="false" outlineLevel="0" collapsed="false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58"/>
      <c r="W705" s="59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</row>
    <row r="706" customFormat="false" ht="15.75" hidden="false" customHeight="false" outlineLevel="0" collapsed="false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58"/>
      <c r="W706" s="59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</row>
    <row r="707" customFormat="false" ht="15.75" hidden="false" customHeight="false" outlineLevel="0" collapsed="false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58"/>
      <c r="W707" s="59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</row>
    <row r="708" customFormat="false" ht="15.75" hidden="false" customHeight="false" outlineLevel="0" collapsed="false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58"/>
      <c r="W708" s="59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</row>
    <row r="709" customFormat="false" ht="15.75" hidden="false" customHeight="false" outlineLevel="0" collapsed="false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58"/>
      <c r="W709" s="59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</row>
    <row r="710" customFormat="false" ht="15.75" hidden="false" customHeight="false" outlineLevel="0" collapsed="false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58"/>
      <c r="W710" s="59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</row>
    <row r="711" customFormat="false" ht="15.75" hidden="false" customHeight="false" outlineLevel="0" collapsed="false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58"/>
      <c r="W711" s="59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</row>
    <row r="712" customFormat="false" ht="15.75" hidden="false" customHeight="false" outlineLevel="0" collapsed="false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58"/>
      <c r="W712" s="59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</row>
    <row r="713" customFormat="false" ht="15.75" hidden="false" customHeight="false" outlineLevel="0" collapsed="false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58"/>
      <c r="W713" s="59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</row>
    <row r="714" customFormat="false" ht="15.75" hidden="false" customHeight="false" outlineLevel="0" collapsed="false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58"/>
      <c r="W714" s="59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</row>
    <row r="715" customFormat="false" ht="15.75" hidden="false" customHeight="false" outlineLevel="0" collapsed="false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58"/>
      <c r="W715" s="59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</row>
    <row r="716" customFormat="false" ht="15.75" hidden="false" customHeight="false" outlineLevel="0" collapsed="false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58"/>
      <c r="W716" s="59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</row>
    <row r="717" customFormat="false" ht="15.75" hidden="false" customHeight="false" outlineLevel="0" collapsed="false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58"/>
      <c r="W717" s="59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</row>
    <row r="718" customFormat="false" ht="15.75" hidden="false" customHeight="false" outlineLevel="0" collapsed="false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58"/>
      <c r="W718" s="59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</row>
    <row r="719" customFormat="false" ht="15.75" hidden="false" customHeight="false" outlineLevel="0" collapsed="false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58"/>
      <c r="W719" s="59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</row>
    <row r="720" customFormat="false" ht="15.75" hidden="false" customHeight="false" outlineLevel="0" collapsed="false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58"/>
      <c r="W720" s="59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</row>
    <row r="721" customFormat="false" ht="15.75" hidden="false" customHeight="false" outlineLevel="0" collapsed="false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58"/>
      <c r="W721" s="59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</row>
    <row r="722" customFormat="false" ht="15.75" hidden="false" customHeight="false" outlineLevel="0" collapsed="false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58"/>
      <c r="W722" s="59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</row>
    <row r="723" customFormat="false" ht="15.75" hidden="false" customHeight="false" outlineLevel="0" collapsed="false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58"/>
      <c r="W723" s="59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</row>
    <row r="724" customFormat="false" ht="15.75" hidden="false" customHeight="false" outlineLevel="0" collapsed="false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58"/>
      <c r="W724" s="59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</row>
    <row r="725" customFormat="false" ht="15.75" hidden="false" customHeight="false" outlineLevel="0" collapsed="false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58"/>
      <c r="W725" s="59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</row>
    <row r="726" customFormat="false" ht="15.75" hidden="false" customHeight="false" outlineLevel="0" collapsed="false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58"/>
      <c r="W726" s="59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</row>
    <row r="727" customFormat="false" ht="15.75" hidden="false" customHeight="false" outlineLevel="0" collapsed="false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58"/>
      <c r="W727" s="59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</row>
    <row r="728" customFormat="false" ht="15.75" hidden="false" customHeight="false" outlineLevel="0" collapsed="false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58"/>
      <c r="W728" s="59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</row>
    <row r="729" customFormat="false" ht="15.75" hidden="false" customHeight="false" outlineLevel="0" collapsed="false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58"/>
      <c r="W729" s="59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</row>
    <row r="730" customFormat="false" ht="15.75" hidden="false" customHeight="false" outlineLevel="0" collapsed="false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58"/>
      <c r="W730" s="59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</row>
    <row r="731" customFormat="false" ht="15.75" hidden="false" customHeight="false" outlineLevel="0" collapsed="false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58"/>
      <c r="W731" s="59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</row>
    <row r="732" customFormat="false" ht="15.75" hidden="false" customHeight="false" outlineLevel="0" collapsed="false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58"/>
      <c r="W732" s="59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</row>
    <row r="733" customFormat="false" ht="15.75" hidden="false" customHeight="false" outlineLevel="0" collapsed="false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58"/>
      <c r="W733" s="59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</row>
    <row r="734" customFormat="false" ht="15.75" hidden="false" customHeight="false" outlineLevel="0" collapsed="false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58"/>
      <c r="W734" s="59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</row>
    <row r="735" customFormat="false" ht="15.75" hidden="false" customHeight="false" outlineLevel="0" collapsed="false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58"/>
      <c r="W735" s="59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</row>
    <row r="736" customFormat="false" ht="15.75" hidden="false" customHeight="false" outlineLevel="0" collapsed="false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58"/>
      <c r="W736" s="59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</row>
    <row r="737" customFormat="false" ht="15.75" hidden="false" customHeight="false" outlineLevel="0" collapsed="false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58"/>
      <c r="W737" s="59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</row>
    <row r="738" customFormat="false" ht="15.75" hidden="false" customHeight="false" outlineLevel="0" collapsed="false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58"/>
      <c r="W738" s="59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</row>
    <row r="739" customFormat="false" ht="15.75" hidden="false" customHeight="false" outlineLevel="0" collapsed="false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58"/>
      <c r="W739" s="59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</row>
    <row r="740" customFormat="false" ht="15.75" hidden="false" customHeight="false" outlineLevel="0" collapsed="false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58"/>
      <c r="W740" s="59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</row>
    <row r="741" customFormat="false" ht="15.75" hidden="false" customHeight="false" outlineLevel="0" collapsed="false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58"/>
      <c r="W741" s="59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</row>
    <row r="742" customFormat="false" ht="15.75" hidden="false" customHeight="false" outlineLevel="0" collapsed="false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58"/>
      <c r="W742" s="59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</row>
    <row r="743" customFormat="false" ht="15.75" hidden="false" customHeight="false" outlineLevel="0" collapsed="false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58"/>
      <c r="W743" s="59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</row>
    <row r="744" customFormat="false" ht="15.75" hidden="false" customHeight="false" outlineLevel="0" collapsed="false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58"/>
      <c r="W744" s="59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</row>
    <row r="745" customFormat="false" ht="15.75" hidden="false" customHeight="false" outlineLevel="0" collapsed="false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58"/>
      <c r="W745" s="59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</row>
    <row r="746" customFormat="false" ht="15.75" hidden="false" customHeight="false" outlineLevel="0" collapsed="false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58"/>
      <c r="W746" s="59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</row>
    <row r="747" customFormat="false" ht="15.75" hidden="false" customHeight="false" outlineLevel="0" collapsed="false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58"/>
      <c r="W747" s="59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</row>
    <row r="748" customFormat="false" ht="15.75" hidden="false" customHeight="false" outlineLevel="0" collapsed="false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58"/>
      <c r="W748" s="59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</row>
    <row r="749" customFormat="false" ht="15.75" hidden="false" customHeight="false" outlineLevel="0" collapsed="false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58"/>
      <c r="W749" s="59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</row>
    <row r="750" customFormat="false" ht="15.75" hidden="false" customHeight="false" outlineLevel="0" collapsed="false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58"/>
      <c r="W750" s="59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</row>
    <row r="751" customFormat="false" ht="15.75" hidden="false" customHeight="false" outlineLevel="0" collapsed="false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58"/>
      <c r="W751" s="59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</row>
    <row r="752" customFormat="false" ht="15.75" hidden="false" customHeight="false" outlineLevel="0" collapsed="false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58"/>
      <c r="W752" s="59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</row>
    <row r="753" customFormat="false" ht="15.75" hidden="false" customHeight="false" outlineLevel="0" collapsed="false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58"/>
      <c r="W753" s="59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</row>
    <row r="754" customFormat="false" ht="15.75" hidden="false" customHeight="false" outlineLevel="0" collapsed="false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58"/>
      <c r="W754" s="59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</row>
    <row r="755" customFormat="false" ht="15.75" hidden="false" customHeight="false" outlineLevel="0" collapsed="false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58"/>
      <c r="W755" s="59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</row>
    <row r="756" customFormat="false" ht="15.75" hidden="false" customHeight="false" outlineLevel="0" collapsed="false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58"/>
      <c r="W756" s="59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</row>
    <row r="757" customFormat="false" ht="15.75" hidden="false" customHeight="false" outlineLevel="0" collapsed="false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58"/>
      <c r="W757" s="59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</row>
    <row r="758" customFormat="false" ht="15.75" hidden="false" customHeight="false" outlineLevel="0" collapsed="false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58"/>
      <c r="W758" s="59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</row>
    <row r="759" customFormat="false" ht="15.75" hidden="false" customHeight="false" outlineLevel="0" collapsed="false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58"/>
      <c r="W759" s="59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</row>
    <row r="760" customFormat="false" ht="15.75" hidden="false" customHeight="false" outlineLevel="0" collapsed="false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58"/>
      <c r="W760" s="59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</row>
    <row r="761" customFormat="false" ht="15.75" hidden="false" customHeight="false" outlineLevel="0" collapsed="false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58"/>
      <c r="W761" s="59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</row>
    <row r="762" customFormat="false" ht="15.75" hidden="false" customHeight="false" outlineLevel="0" collapsed="false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58"/>
      <c r="W762" s="59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</row>
    <row r="763" customFormat="false" ht="15.75" hidden="false" customHeight="false" outlineLevel="0" collapsed="false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58"/>
      <c r="W763" s="59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</row>
    <row r="764" customFormat="false" ht="15.75" hidden="false" customHeight="false" outlineLevel="0" collapsed="false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58"/>
      <c r="W764" s="59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</row>
    <row r="765" customFormat="false" ht="15.75" hidden="false" customHeight="false" outlineLevel="0" collapsed="false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58"/>
      <c r="W765" s="59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</row>
    <row r="766" customFormat="false" ht="15.75" hidden="false" customHeight="false" outlineLevel="0" collapsed="false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58"/>
      <c r="W766" s="59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</row>
    <row r="767" customFormat="false" ht="15.75" hidden="false" customHeight="false" outlineLevel="0" collapsed="false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58"/>
      <c r="W767" s="59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</row>
    <row r="768" customFormat="false" ht="15.75" hidden="false" customHeight="false" outlineLevel="0" collapsed="false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58"/>
      <c r="W768" s="59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</row>
    <row r="769" customFormat="false" ht="15.75" hidden="false" customHeight="false" outlineLevel="0" collapsed="false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58"/>
      <c r="W769" s="59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</row>
    <row r="770" customFormat="false" ht="15.75" hidden="false" customHeight="false" outlineLevel="0" collapsed="false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58"/>
      <c r="W770" s="59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</row>
    <row r="771" customFormat="false" ht="15.75" hidden="false" customHeight="false" outlineLevel="0" collapsed="false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58"/>
      <c r="W771" s="59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</row>
    <row r="772" customFormat="false" ht="15.75" hidden="false" customHeight="false" outlineLevel="0" collapsed="false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58"/>
      <c r="W772" s="59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</row>
    <row r="773" customFormat="false" ht="15.75" hidden="false" customHeight="false" outlineLevel="0" collapsed="false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58"/>
      <c r="W773" s="59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</row>
    <row r="774" customFormat="false" ht="15.75" hidden="false" customHeight="false" outlineLevel="0" collapsed="false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58"/>
      <c r="W774" s="59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</row>
    <row r="775" customFormat="false" ht="15.75" hidden="false" customHeight="false" outlineLevel="0" collapsed="false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58"/>
      <c r="W775" s="59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</row>
    <row r="776" customFormat="false" ht="15.75" hidden="false" customHeight="false" outlineLevel="0" collapsed="false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58"/>
      <c r="W776" s="59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</row>
    <row r="777" customFormat="false" ht="15.75" hidden="false" customHeight="false" outlineLevel="0" collapsed="false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58"/>
      <c r="W777" s="59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</row>
    <row r="778" customFormat="false" ht="15.75" hidden="false" customHeight="false" outlineLevel="0" collapsed="false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58"/>
      <c r="W778" s="59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</row>
    <row r="779" customFormat="false" ht="15.75" hidden="false" customHeight="false" outlineLevel="0" collapsed="false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58"/>
      <c r="W779" s="59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</row>
    <row r="780" customFormat="false" ht="15.75" hidden="false" customHeight="false" outlineLevel="0" collapsed="false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58"/>
      <c r="W780" s="59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</row>
    <row r="781" customFormat="false" ht="15.75" hidden="false" customHeight="false" outlineLevel="0" collapsed="false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58"/>
      <c r="W781" s="59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</row>
    <row r="782" customFormat="false" ht="15.75" hidden="false" customHeight="false" outlineLevel="0" collapsed="false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58"/>
      <c r="W782" s="59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</row>
    <row r="783" customFormat="false" ht="15.75" hidden="false" customHeight="false" outlineLevel="0" collapsed="false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58"/>
      <c r="W783" s="59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</row>
    <row r="784" customFormat="false" ht="15.75" hidden="false" customHeight="false" outlineLevel="0" collapsed="false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58"/>
      <c r="W784" s="59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</row>
    <row r="785" customFormat="false" ht="15.75" hidden="false" customHeight="false" outlineLevel="0" collapsed="false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58"/>
      <c r="W785" s="59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</row>
    <row r="786" customFormat="false" ht="15.75" hidden="false" customHeight="false" outlineLevel="0" collapsed="false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58"/>
      <c r="W786" s="59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</row>
    <row r="787" customFormat="false" ht="15.75" hidden="false" customHeight="false" outlineLevel="0" collapsed="false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58"/>
      <c r="W787" s="59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</row>
    <row r="788" customFormat="false" ht="15.75" hidden="false" customHeight="false" outlineLevel="0" collapsed="false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58"/>
      <c r="W788" s="59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</row>
    <row r="789" customFormat="false" ht="15.75" hidden="false" customHeight="false" outlineLevel="0" collapsed="false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58"/>
      <c r="W789" s="59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</row>
    <row r="790" customFormat="false" ht="15.75" hidden="false" customHeight="false" outlineLevel="0" collapsed="false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58"/>
      <c r="W790" s="59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</row>
    <row r="791" customFormat="false" ht="15.75" hidden="false" customHeight="false" outlineLevel="0" collapsed="false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58"/>
      <c r="W791" s="59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</row>
    <row r="792" customFormat="false" ht="15.75" hidden="false" customHeight="false" outlineLevel="0" collapsed="false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58"/>
      <c r="W792" s="59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</row>
    <row r="793" customFormat="false" ht="15.75" hidden="false" customHeight="false" outlineLevel="0" collapsed="false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58"/>
      <c r="W793" s="59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</row>
    <row r="794" customFormat="false" ht="15.75" hidden="false" customHeight="false" outlineLevel="0" collapsed="false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58"/>
      <c r="W794" s="59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</row>
    <row r="795" customFormat="false" ht="15.75" hidden="false" customHeight="false" outlineLevel="0" collapsed="false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58"/>
      <c r="W795" s="59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</row>
    <row r="796" customFormat="false" ht="15.75" hidden="false" customHeight="false" outlineLevel="0" collapsed="false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58"/>
      <c r="W796" s="59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</row>
    <row r="797" customFormat="false" ht="15.75" hidden="false" customHeight="false" outlineLevel="0" collapsed="false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58"/>
      <c r="W797" s="59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</row>
    <row r="798" customFormat="false" ht="15.75" hidden="false" customHeight="false" outlineLevel="0" collapsed="false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58"/>
      <c r="W798" s="59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</row>
    <row r="799" customFormat="false" ht="15.75" hidden="false" customHeight="false" outlineLevel="0" collapsed="false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58"/>
      <c r="W799" s="59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</row>
    <row r="800" customFormat="false" ht="15.75" hidden="false" customHeight="false" outlineLevel="0" collapsed="false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58"/>
      <c r="W800" s="59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</row>
    <row r="801" customFormat="false" ht="15.75" hidden="false" customHeight="false" outlineLevel="0" collapsed="false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58"/>
      <c r="W801" s="59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</row>
    <row r="802" customFormat="false" ht="15.75" hidden="false" customHeight="false" outlineLevel="0" collapsed="false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58"/>
      <c r="W802" s="59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</row>
    <row r="803" customFormat="false" ht="15.75" hidden="false" customHeight="false" outlineLevel="0" collapsed="false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58"/>
      <c r="W803" s="59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</row>
    <row r="804" customFormat="false" ht="15.75" hidden="false" customHeight="false" outlineLevel="0" collapsed="false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58"/>
      <c r="W804" s="59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</row>
    <row r="805" customFormat="false" ht="15.75" hidden="false" customHeight="false" outlineLevel="0" collapsed="false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58"/>
      <c r="W805" s="59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</row>
    <row r="806" customFormat="false" ht="15.75" hidden="false" customHeight="false" outlineLevel="0" collapsed="false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58"/>
      <c r="W806" s="59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</row>
    <row r="807" customFormat="false" ht="15.75" hidden="false" customHeight="false" outlineLevel="0" collapsed="false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58"/>
      <c r="W807" s="59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</row>
    <row r="808" customFormat="false" ht="15.75" hidden="false" customHeight="false" outlineLevel="0" collapsed="false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58"/>
      <c r="W808" s="59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</row>
    <row r="809" customFormat="false" ht="15.75" hidden="false" customHeight="false" outlineLevel="0" collapsed="false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58"/>
      <c r="W809" s="59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</row>
    <row r="810" customFormat="false" ht="15.75" hidden="false" customHeight="false" outlineLevel="0" collapsed="false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58"/>
      <c r="W810" s="59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</row>
    <row r="811" customFormat="false" ht="15.75" hidden="false" customHeight="false" outlineLevel="0" collapsed="false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58"/>
      <c r="W811" s="59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</row>
    <row r="812" customFormat="false" ht="15.75" hidden="false" customHeight="false" outlineLevel="0" collapsed="false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58"/>
      <c r="W812" s="59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</row>
    <row r="813" customFormat="false" ht="15.75" hidden="false" customHeight="false" outlineLevel="0" collapsed="false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58"/>
      <c r="W813" s="59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</row>
    <row r="814" customFormat="false" ht="15.75" hidden="false" customHeight="false" outlineLevel="0" collapsed="false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58"/>
      <c r="W814" s="59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</row>
    <row r="815" customFormat="false" ht="15.75" hidden="false" customHeight="false" outlineLevel="0" collapsed="false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58"/>
      <c r="W815" s="59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</row>
    <row r="816" customFormat="false" ht="15.75" hidden="false" customHeight="false" outlineLevel="0" collapsed="false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58"/>
      <c r="W816" s="59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</row>
    <row r="817" customFormat="false" ht="15.75" hidden="false" customHeight="false" outlineLevel="0" collapsed="false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58"/>
      <c r="W817" s="59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</row>
    <row r="818" customFormat="false" ht="15.75" hidden="false" customHeight="false" outlineLevel="0" collapsed="false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58"/>
      <c r="W818" s="59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</row>
    <row r="819" customFormat="false" ht="15.75" hidden="false" customHeight="false" outlineLevel="0" collapsed="false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58"/>
      <c r="W819" s="59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</row>
    <row r="820" customFormat="false" ht="15.75" hidden="false" customHeight="false" outlineLevel="0" collapsed="false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58"/>
      <c r="W820" s="59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</row>
    <row r="821" customFormat="false" ht="15.75" hidden="false" customHeight="false" outlineLevel="0" collapsed="false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58"/>
      <c r="W821" s="59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</row>
    <row r="822" customFormat="false" ht="15.75" hidden="false" customHeight="false" outlineLevel="0" collapsed="false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58"/>
      <c r="W822" s="59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</row>
    <row r="823" customFormat="false" ht="15.75" hidden="false" customHeight="false" outlineLevel="0" collapsed="false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58"/>
      <c r="W823" s="59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</row>
    <row r="824" customFormat="false" ht="15.75" hidden="false" customHeight="false" outlineLevel="0" collapsed="false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58"/>
      <c r="W824" s="59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</row>
    <row r="825" customFormat="false" ht="15.75" hidden="false" customHeight="false" outlineLevel="0" collapsed="false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58"/>
      <c r="W825" s="59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</row>
    <row r="826" customFormat="false" ht="15.75" hidden="false" customHeight="false" outlineLevel="0" collapsed="false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58"/>
      <c r="W826" s="59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</row>
    <row r="827" customFormat="false" ht="15.75" hidden="false" customHeight="false" outlineLevel="0" collapsed="false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58"/>
      <c r="W827" s="59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</row>
    <row r="828" customFormat="false" ht="15.75" hidden="false" customHeight="false" outlineLevel="0" collapsed="false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58"/>
      <c r="W828" s="59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</row>
    <row r="829" customFormat="false" ht="15.75" hidden="false" customHeight="false" outlineLevel="0" collapsed="false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58"/>
      <c r="W829" s="59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</row>
    <row r="830" customFormat="false" ht="15.75" hidden="false" customHeight="false" outlineLevel="0" collapsed="false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58"/>
      <c r="W830" s="59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</row>
    <row r="831" customFormat="false" ht="15.75" hidden="false" customHeight="false" outlineLevel="0" collapsed="false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58"/>
      <c r="W831" s="59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</row>
    <row r="832" customFormat="false" ht="15.75" hidden="false" customHeight="false" outlineLevel="0" collapsed="false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58"/>
      <c r="W832" s="59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</row>
    <row r="833" customFormat="false" ht="15.75" hidden="false" customHeight="false" outlineLevel="0" collapsed="false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58"/>
      <c r="W833" s="59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</row>
    <row r="834" customFormat="false" ht="15.75" hidden="false" customHeight="false" outlineLevel="0" collapsed="false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58"/>
      <c r="W834" s="59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</row>
    <row r="835" customFormat="false" ht="15.75" hidden="false" customHeight="false" outlineLevel="0" collapsed="false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58"/>
      <c r="W835" s="59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</row>
    <row r="836" customFormat="false" ht="15.75" hidden="false" customHeight="false" outlineLevel="0" collapsed="false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58"/>
      <c r="W836" s="59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</row>
    <row r="837" customFormat="false" ht="15.75" hidden="false" customHeight="false" outlineLevel="0" collapsed="false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58"/>
      <c r="W837" s="59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</row>
    <row r="838" customFormat="false" ht="15.75" hidden="false" customHeight="false" outlineLevel="0" collapsed="false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58"/>
      <c r="W838" s="59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</row>
    <row r="839" customFormat="false" ht="15.75" hidden="false" customHeight="false" outlineLevel="0" collapsed="false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58"/>
      <c r="W839" s="59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</row>
    <row r="840" customFormat="false" ht="15.75" hidden="false" customHeight="false" outlineLevel="0" collapsed="false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58"/>
      <c r="W840" s="59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</row>
    <row r="841" customFormat="false" ht="15.75" hidden="false" customHeight="false" outlineLevel="0" collapsed="false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58"/>
      <c r="W841" s="59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</row>
    <row r="842" customFormat="false" ht="15.75" hidden="false" customHeight="false" outlineLevel="0" collapsed="false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58"/>
      <c r="W842" s="59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</row>
    <row r="843" customFormat="false" ht="15.75" hidden="false" customHeight="false" outlineLevel="0" collapsed="false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58"/>
      <c r="W843" s="59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</row>
    <row r="844" customFormat="false" ht="15.75" hidden="false" customHeight="false" outlineLevel="0" collapsed="false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58"/>
      <c r="W844" s="59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</row>
    <row r="845" customFormat="false" ht="15.75" hidden="false" customHeight="false" outlineLevel="0" collapsed="false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58"/>
      <c r="W845" s="59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</row>
    <row r="846" customFormat="false" ht="15.75" hidden="false" customHeight="false" outlineLevel="0" collapsed="false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58"/>
      <c r="W846" s="59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</row>
    <row r="847" customFormat="false" ht="15.75" hidden="false" customHeight="false" outlineLevel="0" collapsed="false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58"/>
      <c r="W847" s="59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</row>
    <row r="848" customFormat="false" ht="15.75" hidden="false" customHeight="false" outlineLevel="0" collapsed="false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58"/>
      <c r="W848" s="59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</row>
    <row r="849" customFormat="false" ht="15.75" hidden="false" customHeight="false" outlineLevel="0" collapsed="false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58"/>
      <c r="W849" s="59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</row>
    <row r="850" customFormat="false" ht="15.75" hidden="false" customHeight="false" outlineLevel="0" collapsed="false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58"/>
      <c r="W850" s="59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</row>
    <row r="851" customFormat="false" ht="15.75" hidden="false" customHeight="false" outlineLevel="0" collapsed="false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58"/>
      <c r="W851" s="59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</row>
    <row r="852" customFormat="false" ht="15.75" hidden="false" customHeight="false" outlineLevel="0" collapsed="false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58"/>
      <c r="W852" s="59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</row>
    <row r="853" customFormat="false" ht="15.75" hidden="false" customHeight="false" outlineLevel="0" collapsed="false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58"/>
      <c r="W853" s="59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</row>
    <row r="854" customFormat="false" ht="15.75" hidden="false" customHeight="false" outlineLevel="0" collapsed="false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58"/>
      <c r="W854" s="59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</row>
    <row r="855" customFormat="false" ht="15.75" hidden="false" customHeight="false" outlineLevel="0" collapsed="false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58"/>
      <c r="W855" s="59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</row>
    <row r="856" customFormat="false" ht="15.75" hidden="false" customHeight="false" outlineLevel="0" collapsed="false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58"/>
      <c r="W856" s="59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</row>
    <row r="857" customFormat="false" ht="15.75" hidden="false" customHeight="false" outlineLevel="0" collapsed="false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58"/>
      <c r="W857" s="59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</row>
    <row r="858" customFormat="false" ht="15.75" hidden="false" customHeight="false" outlineLevel="0" collapsed="false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58"/>
      <c r="W858" s="59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</row>
    <row r="859" customFormat="false" ht="15.75" hidden="false" customHeight="false" outlineLevel="0" collapsed="false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58"/>
      <c r="W859" s="59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</row>
    <row r="860" customFormat="false" ht="15.75" hidden="false" customHeight="false" outlineLevel="0" collapsed="false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58"/>
      <c r="W860" s="59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</row>
    <row r="861" customFormat="false" ht="15.75" hidden="false" customHeight="false" outlineLevel="0" collapsed="false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58"/>
      <c r="W861" s="59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</row>
    <row r="862" customFormat="false" ht="15.75" hidden="false" customHeight="false" outlineLevel="0" collapsed="false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58"/>
      <c r="W862" s="59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</row>
    <row r="863" customFormat="false" ht="15.75" hidden="false" customHeight="false" outlineLevel="0" collapsed="false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58"/>
      <c r="W863" s="59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</row>
    <row r="864" customFormat="false" ht="15.75" hidden="false" customHeight="false" outlineLevel="0" collapsed="false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58"/>
      <c r="W864" s="59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</row>
    <row r="865" customFormat="false" ht="15.75" hidden="false" customHeight="false" outlineLevel="0" collapsed="false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58"/>
      <c r="W865" s="59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</row>
  </sheetData>
  <mergeCells count="5">
    <mergeCell ref="U2:AF2"/>
    <mergeCell ref="AG2:AL2"/>
    <mergeCell ref="AM2:AO2"/>
    <mergeCell ref="AP2:AR2"/>
    <mergeCell ref="AS2:B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21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91" hidden="false" customHeight="false" outlineLevel="0" collapsed="false">
      <c r="A1" s="19" t="s">
        <v>7</v>
      </c>
      <c r="B1" s="19" t="s">
        <v>2</v>
      </c>
      <c r="C1" s="19" t="s">
        <v>8</v>
      </c>
      <c r="D1" s="19" t="s">
        <v>9</v>
      </c>
      <c r="E1" s="19" t="s">
        <v>10</v>
      </c>
      <c r="F1" s="19" t="s">
        <v>11</v>
      </c>
      <c r="G1" s="19" t="s">
        <v>12</v>
      </c>
      <c r="H1" s="19" t="s">
        <v>13</v>
      </c>
      <c r="I1" s="19" t="s">
        <v>14</v>
      </c>
      <c r="J1" s="19" t="s">
        <v>15</v>
      </c>
      <c r="K1" s="19" t="s">
        <v>16</v>
      </c>
      <c r="L1" s="19" t="s">
        <v>17</v>
      </c>
      <c r="M1" s="19" t="s">
        <v>1</v>
      </c>
      <c r="N1" s="19" t="s">
        <v>18</v>
      </c>
      <c r="O1" s="19" t="s">
        <v>19</v>
      </c>
      <c r="P1" s="19" t="s">
        <v>20</v>
      </c>
      <c r="Q1" s="19" t="s">
        <v>21</v>
      </c>
      <c r="R1" s="19" t="s">
        <v>22</v>
      </c>
      <c r="S1" s="19" t="s">
        <v>23</v>
      </c>
      <c r="T1" s="19" t="s">
        <v>24</v>
      </c>
      <c r="U1" s="19" t="s">
        <v>281</v>
      </c>
      <c r="V1" s="19" t="s">
        <v>282</v>
      </c>
      <c r="W1" s="19" t="s">
        <v>283</v>
      </c>
      <c r="X1" s="19" t="s">
        <v>432</v>
      </c>
      <c r="Y1" s="19" t="s">
        <v>284</v>
      </c>
      <c r="Z1" s="19" t="s">
        <v>285</v>
      </c>
      <c r="AA1" s="19" t="s">
        <v>286</v>
      </c>
      <c r="AB1" s="19" t="s">
        <v>287</v>
      </c>
      <c r="AC1" s="19" t="s">
        <v>25</v>
      </c>
      <c r="AD1" s="19" t="s">
        <v>26</v>
      </c>
      <c r="AE1" s="19" t="s">
        <v>104</v>
      </c>
      <c r="AF1" s="19" t="s">
        <v>105</v>
      </c>
      <c r="AG1" s="19" t="s">
        <v>106</v>
      </c>
      <c r="AH1" s="19" t="s">
        <v>288</v>
      </c>
      <c r="AI1" s="19" t="s">
        <v>289</v>
      </c>
      <c r="AJ1" s="19" t="s">
        <v>290</v>
      </c>
      <c r="AK1" s="19" t="s">
        <v>291</v>
      </c>
      <c r="AL1" s="19" t="s">
        <v>27</v>
      </c>
      <c r="AM1" s="19" t="s">
        <v>28</v>
      </c>
      <c r="AN1" s="19" t="s">
        <v>292</v>
      </c>
      <c r="AO1" s="19" t="s">
        <v>293</v>
      </c>
      <c r="AP1" s="19" t="s">
        <v>294</v>
      </c>
      <c r="AQ1" s="19" t="s">
        <v>295</v>
      </c>
      <c r="AR1" s="84" t="s">
        <v>296</v>
      </c>
      <c r="AS1" s="19" t="s">
        <v>297</v>
      </c>
      <c r="AT1" s="19" t="s">
        <v>298</v>
      </c>
      <c r="AU1" s="19" t="s">
        <v>433</v>
      </c>
      <c r="AV1" s="19" t="s">
        <v>434</v>
      </c>
      <c r="AW1" s="19" t="s">
        <v>435</v>
      </c>
      <c r="AX1" s="19" t="s">
        <v>436</v>
      </c>
      <c r="AY1" s="19" t="s">
        <v>437</v>
      </c>
      <c r="AZ1" s="19" t="s">
        <v>305</v>
      </c>
      <c r="BA1" s="19" t="s">
        <v>306</v>
      </c>
      <c r="BB1" s="19" t="s">
        <v>438</v>
      </c>
      <c r="BC1" s="19" t="s">
        <v>303</v>
      </c>
      <c r="BD1" s="19" t="s">
        <v>304</v>
      </c>
      <c r="BE1" s="19" t="s">
        <v>439</v>
      </c>
      <c r="BF1" s="19" t="s">
        <v>440</v>
      </c>
      <c r="BG1" s="19" t="s">
        <v>308</v>
      </c>
    </row>
    <row r="2" customFormat="false" ht="12.8" hidden="false" customHeight="false" outlineLevel="0" collapsed="false">
      <c r="A2" s="19" t="s">
        <v>29</v>
      </c>
      <c r="B2" s="19" t="s">
        <v>4</v>
      </c>
      <c r="C2" s="19" t="s">
        <v>30</v>
      </c>
      <c r="D2" s="19" t="s">
        <v>441</v>
      </c>
      <c r="E2" s="19" t="s">
        <v>178</v>
      </c>
      <c r="G2" s="19" t="s">
        <v>33</v>
      </c>
      <c r="H2" s="19" t="s">
        <v>47</v>
      </c>
      <c r="I2" s="19" t="s">
        <v>442</v>
      </c>
      <c r="J2" s="19" t="s">
        <v>443</v>
      </c>
      <c r="K2" s="19" t="s">
        <v>444</v>
      </c>
      <c r="L2" s="19" t="s">
        <v>445</v>
      </c>
      <c r="M2" s="19" t="n">
        <v>2011</v>
      </c>
      <c r="N2" s="19" t="n">
        <v>126</v>
      </c>
      <c r="O2" s="19" t="n">
        <v>125.723</v>
      </c>
      <c r="P2" s="19" t="n">
        <v>62864</v>
      </c>
      <c r="Q2" s="19" t="n">
        <v>62864</v>
      </c>
      <c r="R2" s="19" t="s">
        <v>52</v>
      </c>
      <c r="S2" s="19" t="s">
        <v>53</v>
      </c>
      <c r="T2" s="19" t="s">
        <v>446</v>
      </c>
      <c r="U2" s="19" t="n">
        <v>621967</v>
      </c>
      <c r="W2" s="19" t="n">
        <v>315000</v>
      </c>
      <c r="X2" s="19" t="s">
        <v>447</v>
      </c>
      <c r="Y2" s="19" t="n">
        <v>125000</v>
      </c>
      <c r="Z2" s="19" t="n">
        <v>371248</v>
      </c>
      <c r="AA2" s="19" t="n">
        <v>125719</v>
      </c>
      <c r="AB2" s="19" t="n">
        <v>621967</v>
      </c>
      <c r="AD2" s="85" t="n">
        <v>41639</v>
      </c>
      <c r="AE2" s="19" t="n">
        <v>1</v>
      </c>
      <c r="AL2" s="85" t="n">
        <v>41621</v>
      </c>
      <c r="AM2" s="19" t="n">
        <v>0.42</v>
      </c>
      <c r="AR2" s="19" t="s">
        <v>311</v>
      </c>
      <c r="AS2" s="19" t="s">
        <v>312</v>
      </c>
      <c r="AT2" s="19" t="s">
        <v>313</v>
      </c>
      <c r="AV2" s="19" t="n">
        <v>13</v>
      </c>
      <c r="AW2" s="19" t="n">
        <v>13</v>
      </c>
      <c r="AY2" s="19" t="n">
        <v>2023</v>
      </c>
      <c r="AZ2" s="19" t="s">
        <v>448</v>
      </c>
      <c r="BA2" s="19" t="s">
        <v>449</v>
      </c>
      <c r="BB2" s="19" t="n">
        <v>0.3557</v>
      </c>
      <c r="BC2" s="85" t="n">
        <v>45429</v>
      </c>
      <c r="BD2" s="19" t="s">
        <v>450</v>
      </c>
    </row>
    <row r="3" customFormat="false" ht="12.8" hidden="false" customHeight="false" outlineLevel="0" collapsed="false">
      <c r="A3" s="19" t="s">
        <v>29</v>
      </c>
      <c r="B3" s="19" t="s">
        <v>4</v>
      </c>
      <c r="C3" s="19" t="s">
        <v>43</v>
      </c>
      <c r="D3" s="19" t="s">
        <v>451</v>
      </c>
      <c r="E3" s="19" t="s">
        <v>45</v>
      </c>
      <c r="G3" s="19" t="s">
        <v>416</v>
      </c>
      <c r="H3" s="19" t="s">
        <v>47</v>
      </c>
      <c r="I3" s="19" t="s">
        <v>452</v>
      </c>
      <c r="J3" s="19" t="s">
        <v>453</v>
      </c>
      <c r="K3" s="19" t="s">
        <v>454</v>
      </c>
      <c r="L3" s="19" t="s">
        <v>455</v>
      </c>
      <c r="M3" s="19" t="n">
        <v>2011</v>
      </c>
      <c r="N3" s="19" t="n">
        <v>25</v>
      </c>
      <c r="O3" s="19" t="n">
        <v>26</v>
      </c>
      <c r="P3" s="19" t="n">
        <v>13024</v>
      </c>
      <c r="Q3" s="19" t="n">
        <v>13024</v>
      </c>
      <c r="R3" s="19" t="s">
        <v>52</v>
      </c>
      <c r="S3" s="19" t="s">
        <v>246</v>
      </c>
      <c r="T3" s="19" t="s">
        <v>456</v>
      </c>
      <c r="U3" s="19" t="n">
        <v>127778</v>
      </c>
      <c r="W3" s="19" t="n">
        <v>62500</v>
      </c>
      <c r="X3" s="19" t="s">
        <v>447</v>
      </c>
      <c r="Y3" s="19" t="n">
        <v>25000</v>
      </c>
      <c r="Z3" s="19" t="n">
        <v>76778</v>
      </c>
      <c r="AA3" s="19" t="n">
        <v>26000</v>
      </c>
      <c r="AB3" s="19" t="n">
        <v>127778</v>
      </c>
      <c r="AD3" s="85" t="n">
        <v>41639</v>
      </c>
      <c r="AE3" s="19" t="n">
        <v>1</v>
      </c>
      <c r="AL3" s="85" t="n">
        <v>41614</v>
      </c>
      <c r="AM3" s="19" t="n">
        <v>0.7018</v>
      </c>
      <c r="AR3" s="19" t="s">
        <v>311</v>
      </c>
      <c r="AS3" s="19" t="s">
        <v>312</v>
      </c>
      <c r="AT3" s="19" t="s">
        <v>313</v>
      </c>
      <c r="AV3" s="19" t="n">
        <v>4</v>
      </c>
      <c r="AW3" s="19" t="n">
        <v>4</v>
      </c>
      <c r="AY3" s="19" t="n">
        <v>2023</v>
      </c>
      <c r="AZ3" s="19" t="s">
        <v>457</v>
      </c>
      <c r="BA3" s="19" t="s">
        <v>458</v>
      </c>
      <c r="BB3" s="19" t="n">
        <v>0.582</v>
      </c>
      <c r="BC3" s="85" t="n">
        <v>45537</v>
      </c>
      <c r="BD3" s="19" t="s">
        <v>450</v>
      </c>
    </row>
    <row r="4" customFormat="false" ht="12.8" hidden="false" customHeight="false" outlineLevel="0" collapsed="false">
      <c r="A4" s="19" t="s">
        <v>29</v>
      </c>
      <c r="B4" s="19" t="s">
        <v>4</v>
      </c>
      <c r="C4" s="19" t="s">
        <v>30</v>
      </c>
      <c r="D4" s="19" t="s">
        <v>97</v>
      </c>
      <c r="E4" s="19" t="s">
        <v>79</v>
      </c>
      <c r="G4" s="19" t="s">
        <v>80</v>
      </c>
      <c r="H4" s="19" t="s">
        <v>47</v>
      </c>
      <c r="I4" s="19" t="s">
        <v>459</v>
      </c>
      <c r="J4" s="19" t="s">
        <v>460</v>
      </c>
      <c r="K4" s="19" t="s">
        <v>461</v>
      </c>
      <c r="L4" s="19" t="s">
        <v>462</v>
      </c>
      <c r="M4" s="19" t="n">
        <v>2011</v>
      </c>
      <c r="N4" s="19" t="n">
        <v>21</v>
      </c>
      <c r="O4" s="19" t="n">
        <v>20.6</v>
      </c>
      <c r="P4" s="19" t="n">
        <v>10300</v>
      </c>
      <c r="Q4" s="19" t="n">
        <v>10300</v>
      </c>
      <c r="R4" s="19" t="s">
        <v>52</v>
      </c>
      <c r="S4" s="19" t="s">
        <v>246</v>
      </c>
      <c r="T4" s="19" t="s">
        <v>463</v>
      </c>
      <c r="U4" s="19" t="n">
        <v>920600</v>
      </c>
      <c r="W4" s="19" t="n">
        <v>52500</v>
      </c>
      <c r="X4" s="19" t="s">
        <v>447</v>
      </c>
      <c r="Y4" s="19" t="n">
        <v>600000</v>
      </c>
      <c r="Z4" s="19" t="n">
        <v>300000</v>
      </c>
      <c r="AA4" s="19" t="n">
        <v>20600</v>
      </c>
      <c r="AB4" s="19" t="n">
        <v>920600</v>
      </c>
      <c r="AD4" s="85" t="n">
        <v>41639</v>
      </c>
      <c r="AE4" s="19" t="n">
        <v>1</v>
      </c>
      <c r="AL4" s="85" t="n">
        <v>41613</v>
      </c>
      <c r="AM4" s="19" t="n">
        <v>0.5876</v>
      </c>
      <c r="AN4" s="19" t="s">
        <v>464</v>
      </c>
      <c r="AO4" s="19" t="s">
        <v>465</v>
      </c>
      <c r="AR4" s="19" t="s">
        <v>117</v>
      </c>
      <c r="AT4" s="19" t="s">
        <v>313</v>
      </c>
      <c r="AV4" s="19" t="n">
        <v>3</v>
      </c>
      <c r="AW4" s="19" t="n">
        <v>3</v>
      </c>
      <c r="AY4" s="19" t="n">
        <v>2023</v>
      </c>
      <c r="AZ4" s="19" t="s">
        <v>457</v>
      </c>
      <c r="BA4" s="19" t="s">
        <v>449</v>
      </c>
      <c r="BB4" s="19" t="n">
        <v>0.1913</v>
      </c>
      <c r="BC4" s="85" t="n">
        <v>45537</v>
      </c>
      <c r="BD4" s="19" t="s">
        <v>450</v>
      </c>
    </row>
    <row r="5" customFormat="false" ht="12.8" hidden="false" customHeight="false" outlineLevel="0" collapsed="false">
      <c r="A5" s="19" t="s">
        <v>29</v>
      </c>
      <c r="B5" s="19" t="s">
        <v>4</v>
      </c>
      <c r="C5" s="19" t="s">
        <v>30</v>
      </c>
      <c r="D5" s="19" t="s">
        <v>61</v>
      </c>
      <c r="E5" s="19" t="s">
        <v>32</v>
      </c>
      <c r="G5" s="19" t="s">
        <v>33</v>
      </c>
      <c r="H5" s="19" t="s">
        <v>47</v>
      </c>
      <c r="I5" s="19" t="s">
        <v>466</v>
      </c>
      <c r="J5" s="19" t="s">
        <v>63</v>
      </c>
      <c r="K5" s="19" t="s">
        <v>467</v>
      </c>
      <c r="L5" s="19" t="s">
        <v>468</v>
      </c>
      <c r="M5" s="19" t="n">
        <v>2011</v>
      </c>
      <c r="N5" s="19" t="n">
        <v>51</v>
      </c>
      <c r="O5" s="19" t="n">
        <v>50.69</v>
      </c>
      <c r="P5" s="19" t="n">
        <v>25545</v>
      </c>
      <c r="Q5" s="19" t="n">
        <v>25545</v>
      </c>
      <c r="R5" s="19" t="s">
        <v>52</v>
      </c>
      <c r="S5" s="19" t="s">
        <v>469</v>
      </c>
      <c r="T5" s="19" t="s">
        <v>470</v>
      </c>
      <c r="U5" s="19" t="n">
        <v>250377.57</v>
      </c>
      <c r="W5" s="19" t="n">
        <v>127500</v>
      </c>
      <c r="X5" s="19" t="s">
        <v>447</v>
      </c>
      <c r="Y5" s="19" t="n">
        <v>50000</v>
      </c>
      <c r="Z5" s="19" t="n">
        <v>149687.57</v>
      </c>
      <c r="AA5" s="19" t="n">
        <v>50690</v>
      </c>
      <c r="AB5" s="19" t="n">
        <v>250377.57</v>
      </c>
      <c r="AC5" s="85" t="n">
        <v>40946</v>
      </c>
      <c r="AD5" s="85" t="n">
        <v>41639</v>
      </c>
      <c r="AE5" s="19" t="n">
        <v>1</v>
      </c>
      <c r="AK5" s="85" t="n">
        <v>40941</v>
      </c>
      <c r="AM5" s="19" t="n">
        <v>0.6688</v>
      </c>
      <c r="AR5" s="19" t="s">
        <v>311</v>
      </c>
      <c r="AS5" s="19" t="s">
        <v>312</v>
      </c>
      <c r="AT5" s="19" t="s">
        <v>313</v>
      </c>
      <c r="AV5" s="19" t="n">
        <v>6</v>
      </c>
      <c r="AW5" s="19" t="n">
        <v>6</v>
      </c>
      <c r="AY5" s="19" t="n">
        <v>2023</v>
      </c>
      <c r="AZ5" s="19" t="s">
        <v>448</v>
      </c>
      <c r="BA5" s="19" t="s">
        <v>449</v>
      </c>
      <c r="BB5" s="19" t="n">
        <v>0.399</v>
      </c>
      <c r="BC5" s="85" t="n">
        <v>45630</v>
      </c>
      <c r="BD5" s="19" t="s">
        <v>450</v>
      </c>
    </row>
    <row r="6" customFormat="false" ht="12.8" hidden="false" customHeight="false" outlineLevel="0" collapsed="false">
      <c r="A6" s="19" t="s">
        <v>29</v>
      </c>
      <c r="B6" s="19" t="s">
        <v>4</v>
      </c>
      <c r="C6" s="19" t="s">
        <v>30</v>
      </c>
      <c r="D6" s="19" t="s">
        <v>186</v>
      </c>
      <c r="E6" s="19" t="s">
        <v>32</v>
      </c>
      <c r="G6" s="19" t="s">
        <v>33</v>
      </c>
      <c r="H6" s="19" t="s">
        <v>47</v>
      </c>
      <c r="I6" s="19" t="s">
        <v>471</v>
      </c>
      <c r="J6" s="19" t="s">
        <v>472</v>
      </c>
      <c r="K6" s="19" t="s">
        <v>473</v>
      </c>
      <c r="L6" s="19" t="s">
        <v>474</v>
      </c>
      <c r="M6" s="19" t="n">
        <v>2011</v>
      </c>
      <c r="N6" s="19" t="n">
        <v>60</v>
      </c>
      <c r="O6" s="19" t="n">
        <v>60</v>
      </c>
      <c r="P6" s="19" t="n">
        <v>30000</v>
      </c>
      <c r="Q6" s="19" t="n">
        <v>30000</v>
      </c>
      <c r="R6" s="19" t="s">
        <v>52</v>
      </c>
      <c r="S6" s="19" t="s">
        <v>256</v>
      </c>
      <c r="T6" s="19" t="s">
        <v>257</v>
      </c>
      <c r="U6" s="19" t="n">
        <v>534830</v>
      </c>
      <c r="W6" s="19" t="n">
        <v>150000</v>
      </c>
      <c r="X6" s="19" t="s">
        <v>447</v>
      </c>
      <c r="Y6" s="19" t="n">
        <v>100000</v>
      </c>
      <c r="Z6" s="19" t="n">
        <v>324830</v>
      </c>
      <c r="AA6" s="19" t="n">
        <v>110000</v>
      </c>
      <c r="AB6" s="19" t="n">
        <v>534830</v>
      </c>
      <c r="AC6" s="85" t="n">
        <v>40946</v>
      </c>
      <c r="AD6" s="85" t="n">
        <v>41639</v>
      </c>
      <c r="AE6" s="19" t="n">
        <v>1</v>
      </c>
      <c r="AM6" s="19" t="n">
        <v>0.8103</v>
      </c>
      <c r="AR6" s="19" t="s">
        <v>475</v>
      </c>
      <c r="AS6" s="19" t="s">
        <v>317</v>
      </c>
      <c r="AT6" s="19" t="s">
        <v>313</v>
      </c>
      <c r="AV6" s="19" t="n">
        <v>7</v>
      </c>
      <c r="AW6" s="19" t="n">
        <v>7</v>
      </c>
      <c r="AY6" s="19" t="n">
        <v>2023</v>
      </c>
      <c r="AZ6" s="19" t="s">
        <v>476</v>
      </c>
      <c r="BA6" s="19" t="s">
        <v>449</v>
      </c>
      <c r="BB6" s="19" t="n">
        <v>0.0391</v>
      </c>
      <c r="BC6" s="85" t="n">
        <v>45449</v>
      </c>
      <c r="BD6" s="19" t="s">
        <v>450</v>
      </c>
    </row>
    <row r="7" customFormat="false" ht="12.8" hidden="false" customHeight="false" outlineLevel="0" collapsed="false">
      <c r="A7" s="19" t="s">
        <v>29</v>
      </c>
      <c r="B7" s="19" t="s">
        <v>4</v>
      </c>
      <c r="C7" s="19" t="s">
        <v>30</v>
      </c>
      <c r="D7" s="19" t="s">
        <v>186</v>
      </c>
      <c r="E7" s="19" t="s">
        <v>32</v>
      </c>
      <c r="G7" s="19" t="s">
        <v>33</v>
      </c>
      <c r="H7" s="19" t="s">
        <v>47</v>
      </c>
      <c r="I7" s="19" t="s">
        <v>477</v>
      </c>
      <c r="J7" s="19" t="s">
        <v>472</v>
      </c>
      <c r="K7" s="19" t="s">
        <v>473</v>
      </c>
      <c r="L7" s="19" t="s">
        <v>474</v>
      </c>
      <c r="M7" s="19" t="n">
        <v>2011</v>
      </c>
      <c r="N7" s="19" t="n">
        <v>50</v>
      </c>
      <c r="O7" s="19" t="n">
        <v>50</v>
      </c>
      <c r="P7" s="19" t="n">
        <v>25000</v>
      </c>
      <c r="Q7" s="19" t="n">
        <v>25000</v>
      </c>
      <c r="R7" s="19" t="s">
        <v>478</v>
      </c>
      <c r="S7" s="19" t="s">
        <v>189</v>
      </c>
      <c r="T7" s="19" t="s">
        <v>479</v>
      </c>
      <c r="U7" s="19" t="n">
        <v>534830</v>
      </c>
      <c r="W7" s="19" t="n">
        <v>125000</v>
      </c>
      <c r="X7" s="19" t="s">
        <v>447</v>
      </c>
      <c r="Y7" s="19" t="n">
        <v>100000</v>
      </c>
      <c r="Z7" s="19" t="n">
        <v>324830</v>
      </c>
      <c r="AA7" s="19" t="n">
        <v>110000</v>
      </c>
      <c r="AB7" s="19" t="n">
        <v>534830</v>
      </c>
      <c r="AC7" s="85" t="n">
        <v>40946</v>
      </c>
      <c r="AD7" s="85" t="n">
        <v>41639</v>
      </c>
      <c r="AE7" s="19" t="n">
        <v>1</v>
      </c>
      <c r="AM7" s="19" t="n">
        <v>0.81</v>
      </c>
      <c r="AR7" s="19" t="s">
        <v>475</v>
      </c>
      <c r="AS7" s="19" t="s">
        <v>317</v>
      </c>
      <c r="AT7" s="19" t="s">
        <v>313</v>
      </c>
      <c r="AV7" s="19" t="n">
        <v>6</v>
      </c>
      <c r="AW7" s="19" t="n">
        <v>6</v>
      </c>
      <c r="AY7" s="19" t="n">
        <v>2023</v>
      </c>
      <c r="AZ7" s="19" t="s">
        <v>476</v>
      </c>
      <c r="BA7" s="19" t="s">
        <v>480</v>
      </c>
      <c r="BB7" s="19" t="n">
        <v>0.1693</v>
      </c>
      <c r="BC7" s="85" t="n">
        <v>45449</v>
      </c>
      <c r="BD7" s="19" t="s">
        <v>450</v>
      </c>
    </row>
    <row r="8" customFormat="false" ht="12.8" hidden="false" customHeight="false" outlineLevel="0" collapsed="false">
      <c r="A8" s="19" t="s">
        <v>29</v>
      </c>
      <c r="B8" s="19" t="s">
        <v>4</v>
      </c>
      <c r="C8" s="19" t="s">
        <v>30</v>
      </c>
      <c r="D8" s="19" t="s">
        <v>481</v>
      </c>
      <c r="E8" s="19" t="s">
        <v>79</v>
      </c>
      <c r="G8" s="19" t="s">
        <v>80</v>
      </c>
      <c r="H8" s="19" t="s">
        <v>47</v>
      </c>
      <c r="I8" s="19" t="s">
        <v>482</v>
      </c>
      <c r="J8" s="19" t="s">
        <v>483</v>
      </c>
      <c r="K8" s="19" t="s">
        <v>484</v>
      </c>
      <c r="L8" s="19" t="s">
        <v>485</v>
      </c>
      <c r="M8" s="19" t="n">
        <v>2011</v>
      </c>
      <c r="N8" s="19" t="n">
        <v>50</v>
      </c>
      <c r="O8" s="19" t="n">
        <v>50.15</v>
      </c>
      <c r="P8" s="19" t="n">
        <v>25077</v>
      </c>
      <c r="Q8" s="19" t="n">
        <v>25077</v>
      </c>
      <c r="R8" s="19" t="s">
        <v>52</v>
      </c>
      <c r="S8" s="19" t="s">
        <v>53</v>
      </c>
      <c r="T8" s="19" t="s">
        <v>486</v>
      </c>
      <c r="U8" s="19" t="n">
        <v>248242.95</v>
      </c>
      <c r="W8" s="19" t="n">
        <v>125000</v>
      </c>
      <c r="X8" s="19" t="s">
        <v>447</v>
      </c>
      <c r="Y8" s="19" t="n">
        <v>50000</v>
      </c>
      <c r="Z8" s="19" t="n">
        <v>148092.95</v>
      </c>
      <c r="AA8" s="19" t="n">
        <v>50150</v>
      </c>
      <c r="AD8" s="85" t="n">
        <v>41639</v>
      </c>
      <c r="AE8" s="19" t="n">
        <v>1</v>
      </c>
      <c r="AG8" s="86" t="n">
        <v>0</v>
      </c>
      <c r="AL8" s="85" t="n">
        <v>41621</v>
      </c>
      <c r="AM8" s="19" t="n">
        <v>0.4081</v>
      </c>
      <c r="AN8" s="19" t="s">
        <v>487</v>
      </c>
      <c r="AO8" s="19" t="s">
        <v>488</v>
      </c>
      <c r="AR8" s="19" t="s">
        <v>489</v>
      </c>
      <c r="AS8" s="19" t="s">
        <v>489</v>
      </c>
      <c r="AT8" s="19" t="s">
        <v>313</v>
      </c>
      <c r="AV8" s="19" t="n">
        <v>6</v>
      </c>
      <c r="AW8" s="19" t="n">
        <v>6</v>
      </c>
      <c r="AY8" s="19" t="n">
        <v>2023</v>
      </c>
      <c r="AZ8" s="19" t="s">
        <v>490</v>
      </c>
      <c r="BA8" s="19" t="s">
        <v>480</v>
      </c>
      <c r="BB8" s="19" t="n">
        <v>0.0257</v>
      </c>
      <c r="BC8" s="85" t="n">
        <v>45514</v>
      </c>
      <c r="BD8" s="19" t="s">
        <v>450</v>
      </c>
    </row>
    <row r="9" customFormat="false" ht="12.8" hidden="false" customHeight="false" outlineLevel="0" collapsed="false">
      <c r="A9" s="19" t="s">
        <v>29</v>
      </c>
      <c r="B9" s="19" t="s">
        <v>4</v>
      </c>
      <c r="C9" s="19" t="s">
        <v>43</v>
      </c>
      <c r="D9" s="19" t="s">
        <v>451</v>
      </c>
      <c r="E9" s="19" t="s">
        <v>45</v>
      </c>
      <c r="G9" s="19" t="s">
        <v>416</v>
      </c>
      <c r="H9" s="19" t="s">
        <v>47</v>
      </c>
      <c r="I9" s="19" t="s">
        <v>491</v>
      </c>
      <c r="J9" s="19" t="s">
        <v>492</v>
      </c>
      <c r="K9" s="19" t="s">
        <v>493</v>
      </c>
      <c r="L9" s="19" t="s">
        <v>494</v>
      </c>
      <c r="M9" s="19" t="n">
        <v>2011</v>
      </c>
      <c r="N9" s="19" t="n">
        <v>26</v>
      </c>
      <c r="O9" s="19" t="n">
        <v>25</v>
      </c>
      <c r="P9" s="19" t="n">
        <v>12500</v>
      </c>
      <c r="Q9" s="19" t="n">
        <v>12500</v>
      </c>
      <c r="R9" s="19" t="s">
        <v>52</v>
      </c>
      <c r="S9" s="19" t="s">
        <v>246</v>
      </c>
      <c r="T9" s="19" t="s">
        <v>495</v>
      </c>
      <c r="U9" s="19" t="n">
        <v>123825</v>
      </c>
      <c r="W9" s="19" t="n">
        <v>65000</v>
      </c>
      <c r="X9" s="19" t="s">
        <v>447</v>
      </c>
      <c r="Y9" s="19" t="n">
        <v>25000</v>
      </c>
      <c r="Z9" s="19" t="n">
        <v>73825</v>
      </c>
      <c r="AA9" s="19" t="n">
        <v>25000</v>
      </c>
      <c r="AB9" s="19" t="n">
        <v>123825</v>
      </c>
      <c r="AC9" s="85" t="n">
        <v>40946</v>
      </c>
      <c r="AD9" s="85" t="n">
        <v>41639</v>
      </c>
      <c r="AE9" s="19" t="n">
        <v>1</v>
      </c>
      <c r="AK9" s="85" t="n">
        <v>40941</v>
      </c>
      <c r="AL9" s="85" t="n">
        <v>41614</v>
      </c>
      <c r="AM9" s="19" t="n">
        <v>0.5842</v>
      </c>
      <c r="AR9" s="19" t="s">
        <v>311</v>
      </c>
      <c r="AS9" s="19" t="s">
        <v>312</v>
      </c>
      <c r="AT9" s="19" t="s">
        <v>313</v>
      </c>
      <c r="AV9" s="19" t="n">
        <v>3</v>
      </c>
      <c r="AW9" s="19" t="n">
        <v>4</v>
      </c>
      <c r="AY9" s="19" t="n">
        <v>2023</v>
      </c>
      <c r="AZ9" s="19" t="s">
        <v>457</v>
      </c>
      <c r="BA9" s="19" t="s">
        <v>449</v>
      </c>
      <c r="BB9" s="19" t="n">
        <v>0.58</v>
      </c>
      <c r="BC9" s="85" t="n">
        <v>45544</v>
      </c>
      <c r="BD9" s="19" t="s">
        <v>450</v>
      </c>
    </row>
    <row r="10" customFormat="false" ht="12.8" hidden="false" customHeight="false" outlineLevel="0" collapsed="false">
      <c r="A10" s="19" t="s">
        <v>29</v>
      </c>
      <c r="B10" s="19" t="s">
        <v>4</v>
      </c>
      <c r="C10" s="19" t="s">
        <v>30</v>
      </c>
      <c r="D10" s="19" t="s">
        <v>194</v>
      </c>
      <c r="E10" s="19" t="s">
        <v>32</v>
      </c>
      <c r="G10" s="19" t="s">
        <v>33</v>
      </c>
      <c r="H10" s="19" t="s">
        <v>47</v>
      </c>
      <c r="I10" s="19" t="s">
        <v>496</v>
      </c>
      <c r="J10" s="19" t="s">
        <v>497</v>
      </c>
      <c r="K10" s="19" t="s">
        <v>498</v>
      </c>
      <c r="L10" s="19" t="s">
        <v>499</v>
      </c>
      <c r="M10" s="19" t="n">
        <v>2011</v>
      </c>
      <c r="N10" s="19" t="n">
        <v>26</v>
      </c>
      <c r="O10" s="19" t="n">
        <v>25.933</v>
      </c>
      <c r="P10" s="19" t="n">
        <v>12995</v>
      </c>
      <c r="Q10" s="19" t="n">
        <v>12995</v>
      </c>
      <c r="R10" s="19" t="s">
        <v>52</v>
      </c>
      <c r="S10" s="19" t="s">
        <v>469</v>
      </c>
      <c r="T10" s="19" t="s">
        <v>500</v>
      </c>
      <c r="U10" s="19" t="n">
        <v>127532.91</v>
      </c>
      <c r="W10" s="19" t="n">
        <v>65000</v>
      </c>
      <c r="X10" s="19" t="s">
        <v>447</v>
      </c>
      <c r="Y10" s="19" t="n">
        <v>25000</v>
      </c>
      <c r="Z10" s="19" t="n">
        <v>76594.91</v>
      </c>
      <c r="AA10" s="19" t="n">
        <v>25938</v>
      </c>
      <c r="AB10" s="19" t="n">
        <v>127532.91</v>
      </c>
      <c r="AD10" s="85" t="n">
        <v>41639</v>
      </c>
      <c r="AE10" s="19" t="n">
        <v>1</v>
      </c>
      <c r="AM10" s="19" t="n">
        <v>0.6886</v>
      </c>
      <c r="AR10" s="19" t="s">
        <v>311</v>
      </c>
      <c r="AS10" s="19" t="s">
        <v>312</v>
      </c>
      <c r="AT10" s="19" t="s">
        <v>313</v>
      </c>
      <c r="AV10" s="19" t="n">
        <v>3</v>
      </c>
      <c r="AW10" s="19" t="n">
        <v>4</v>
      </c>
      <c r="AY10" s="19" t="n">
        <v>2023</v>
      </c>
      <c r="AZ10" s="19" t="s">
        <v>457</v>
      </c>
      <c r="BA10" s="19" t="s">
        <v>501</v>
      </c>
      <c r="BB10" s="19" t="n">
        <v>0.9565</v>
      </c>
      <c r="BC10" s="85" t="n">
        <v>45476</v>
      </c>
      <c r="BD10" s="19" t="s">
        <v>450</v>
      </c>
    </row>
    <row r="11" customFormat="false" ht="12.8" hidden="false" customHeight="false" outlineLevel="0" collapsed="false">
      <c r="A11" s="19" t="s">
        <v>29</v>
      </c>
      <c r="B11" s="19" t="s">
        <v>4</v>
      </c>
      <c r="C11" s="19" t="s">
        <v>30</v>
      </c>
      <c r="D11" s="19" t="s">
        <v>31</v>
      </c>
      <c r="E11" s="19" t="s">
        <v>32</v>
      </c>
      <c r="G11" s="19" t="s">
        <v>33</v>
      </c>
      <c r="H11" s="19" t="s">
        <v>47</v>
      </c>
      <c r="I11" s="19" t="s">
        <v>502</v>
      </c>
      <c r="J11" s="19" t="s">
        <v>503</v>
      </c>
      <c r="K11" s="19" t="s">
        <v>504</v>
      </c>
      <c r="L11" s="19" t="s">
        <v>505</v>
      </c>
      <c r="M11" s="19" t="n">
        <v>2011</v>
      </c>
      <c r="N11" s="19" t="n">
        <v>5</v>
      </c>
      <c r="O11" s="19" t="n">
        <v>4.71</v>
      </c>
      <c r="P11" s="19" t="n">
        <v>2355</v>
      </c>
      <c r="Q11" s="19" t="n">
        <v>2355</v>
      </c>
      <c r="R11" s="19" t="s">
        <v>52</v>
      </c>
      <c r="S11" s="19" t="s">
        <v>469</v>
      </c>
      <c r="T11" s="19" t="s">
        <v>506</v>
      </c>
      <c r="U11" s="19" t="n">
        <v>2463437.5</v>
      </c>
      <c r="W11" s="19" t="n">
        <v>12500</v>
      </c>
      <c r="X11" s="19" t="s">
        <v>447</v>
      </c>
      <c r="Y11" s="19" t="n">
        <v>2310000</v>
      </c>
      <c r="Z11" s="19" t="n">
        <v>63437.5</v>
      </c>
      <c r="AA11" s="19" t="n">
        <v>90000</v>
      </c>
      <c r="AD11" s="85" t="n">
        <v>41639</v>
      </c>
      <c r="AE11" s="19" t="n">
        <v>1</v>
      </c>
      <c r="AL11" s="85" t="n">
        <v>41513</v>
      </c>
      <c r="AM11" s="19" t="n">
        <v>0.817</v>
      </c>
      <c r="AR11" s="19" t="s">
        <v>311</v>
      </c>
      <c r="AS11" s="19" t="s">
        <v>312</v>
      </c>
      <c r="AT11" s="19" t="s">
        <v>313</v>
      </c>
      <c r="AV11" s="19" t="n">
        <v>1</v>
      </c>
      <c r="AW11" s="19" t="n">
        <v>1</v>
      </c>
      <c r="AY11" s="19" t="n">
        <v>2023</v>
      </c>
      <c r="AZ11" s="19" t="s">
        <v>448</v>
      </c>
      <c r="BA11" s="19" t="s">
        <v>449</v>
      </c>
      <c r="BB11" s="19" t="n">
        <v>0.388</v>
      </c>
      <c r="BC11" s="85" t="n">
        <v>45491</v>
      </c>
      <c r="BD11" s="19" t="s">
        <v>450</v>
      </c>
    </row>
    <row r="12" customFormat="false" ht="12.8" hidden="false" customHeight="false" outlineLevel="0" collapsed="false">
      <c r="A12" s="19" t="s">
        <v>29</v>
      </c>
      <c r="B12" s="19" t="s">
        <v>4</v>
      </c>
      <c r="C12" s="19" t="s">
        <v>30</v>
      </c>
      <c r="D12" s="19" t="s">
        <v>31</v>
      </c>
      <c r="E12" s="19" t="s">
        <v>32</v>
      </c>
      <c r="G12" s="19" t="s">
        <v>33</v>
      </c>
      <c r="H12" s="19" t="s">
        <v>47</v>
      </c>
      <c r="I12" s="19" t="s">
        <v>507</v>
      </c>
      <c r="J12" s="19" t="s">
        <v>503</v>
      </c>
      <c r="K12" s="19" t="s">
        <v>504</v>
      </c>
      <c r="L12" s="19" t="s">
        <v>505</v>
      </c>
      <c r="M12" s="19" t="n">
        <v>2011</v>
      </c>
      <c r="N12" s="19" t="n">
        <v>2</v>
      </c>
      <c r="O12" s="19" t="n">
        <v>1.81</v>
      </c>
      <c r="P12" s="19" t="n">
        <v>905</v>
      </c>
      <c r="Q12" s="19" t="n">
        <v>905</v>
      </c>
      <c r="R12" s="19" t="s">
        <v>52</v>
      </c>
      <c r="S12" s="19" t="s">
        <v>508</v>
      </c>
      <c r="T12" s="19" t="s">
        <v>508</v>
      </c>
      <c r="U12" s="19" t="n">
        <v>2463438</v>
      </c>
      <c r="W12" s="19" t="n">
        <v>5000</v>
      </c>
      <c r="X12" s="19" t="s">
        <v>447</v>
      </c>
      <c r="AA12" s="19" t="n">
        <v>90000</v>
      </c>
      <c r="AD12" s="85" t="n">
        <v>45291</v>
      </c>
      <c r="AE12" s="19" t="n">
        <v>1</v>
      </c>
      <c r="AL12" s="85" t="n">
        <v>41513</v>
      </c>
      <c r="AM12" s="19" t="n">
        <v>0.8497</v>
      </c>
      <c r="AR12" s="19" t="s">
        <v>311</v>
      </c>
      <c r="AS12" s="19" t="s">
        <v>312</v>
      </c>
      <c r="AT12" s="19" t="s">
        <v>313</v>
      </c>
      <c r="AV12" s="19" t="n">
        <v>1</v>
      </c>
      <c r="AW12" s="19" t="n">
        <v>1</v>
      </c>
      <c r="AY12" s="19" t="n">
        <v>2023</v>
      </c>
      <c r="AZ12" s="19" t="s">
        <v>448</v>
      </c>
      <c r="BA12" s="19" t="s">
        <v>449</v>
      </c>
      <c r="BB12" s="19" t="n">
        <v>0.326</v>
      </c>
      <c r="BC12" s="85" t="n">
        <v>45491</v>
      </c>
      <c r="BD12" s="19" t="s">
        <v>450</v>
      </c>
    </row>
    <row r="13" customFormat="false" ht="12.8" hidden="false" customHeight="false" outlineLevel="0" collapsed="false">
      <c r="A13" s="19" t="s">
        <v>29</v>
      </c>
      <c r="B13" s="19" t="s">
        <v>4</v>
      </c>
      <c r="C13" s="19" t="s">
        <v>30</v>
      </c>
      <c r="D13" s="19" t="s">
        <v>31</v>
      </c>
      <c r="E13" s="19" t="s">
        <v>32</v>
      </c>
      <c r="G13" s="19" t="s">
        <v>33</v>
      </c>
      <c r="H13" s="19" t="s">
        <v>47</v>
      </c>
      <c r="I13" s="19" t="s">
        <v>509</v>
      </c>
      <c r="J13" s="19" t="s">
        <v>503</v>
      </c>
      <c r="K13" s="19" t="s">
        <v>504</v>
      </c>
      <c r="L13" s="19" t="s">
        <v>505</v>
      </c>
      <c r="M13" s="19" t="n">
        <v>2011</v>
      </c>
      <c r="N13" s="19" t="n">
        <v>83</v>
      </c>
      <c r="O13" s="19" t="n">
        <v>83.07</v>
      </c>
      <c r="P13" s="19" t="n">
        <v>41535</v>
      </c>
      <c r="Q13" s="19" t="n">
        <v>41535</v>
      </c>
      <c r="R13" s="19" t="s">
        <v>52</v>
      </c>
      <c r="S13" s="19" t="s">
        <v>510</v>
      </c>
      <c r="T13" s="19" t="s">
        <v>511</v>
      </c>
      <c r="U13" s="19" t="n">
        <v>345770</v>
      </c>
      <c r="W13" s="19" t="n">
        <v>207500</v>
      </c>
      <c r="X13" s="19" t="s">
        <v>447</v>
      </c>
      <c r="Y13" s="19" t="n">
        <v>80000</v>
      </c>
      <c r="Z13" s="19" t="n">
        <v>265770</v>
      </c>
      <c r="AA13" s="19" t="n">
        <v>90000</v>
      </c>
      <c r="AD13" s="85" t="n">
        <v>45291</v>
      </c>
      <c r="AE13" s="19" t="n">
        <v>1</v>
      </c>
      <c r="AM13" s="19" t="n">
        <v>0.697</v>
      </c>
      <c r="AN13" s="19" t="s">
        <v>512</v>
      </c>
      <c r="AO13" s="19" t="s">
        <v>513</v>
      </c>
      <c r="AR13" s="19" t="s">
        <v>311</v>
      </c>
      <c r="AS13" s="19" t="s">
        <v>312</v>
      </c>
      <c r="AT13" s="19" t="s">
        <v>313</v>
      </c>
      <c r="AV13" s="19" t="n">
        <v>9</v>
      </c>
      <c r="AW13" s="19" t="n">
        <v>9</v>
      </c>
      <c r="AY13" s="19" t="n">
        <v>2023</v>
      </c>
      <c r="AZ13" s="19" t="s">
        <v>448</v>
      </c>
      <c r="BA13" s="19" t="s">
        <v>449</v>
      </c>
      <c r="BB13" s="19" t="n">
        <v>0.3407</v>
      </c>
      <c r="BC13" s="85" t="n">
        <v>45493</v>
      </c>
      <c r="BD13" s="19" t="s">
        <v>450</v>
      </c>
    </row>
    <row r="14" customFormat="false" ht="12.8" hidden="false" customHeight="false" outlineLevel="0" collapsed="false">
      <c r="A14" s="19" t="s">
        <v>29</v>
      </c>
      <c r="B14" s="19" t="s">
        <v>4</v>
      </c>
      <c r="C14" s="19" t="s">
        <v>30</v>
      </c>
      <c r="D14" s="19" t="s">
        <v>31</v>
      </c>
      <c r="E14" s="19" t="s">
        <v>32</v>
      </c>
      <c r="G14" s="19" t="s">
        <v>33</v>
      </c>
      <c r="H14" s="19" t="s">
        <v>47</v>
      </c>
      <c r="I14" s="19" t="s">
        <v>514</v>
      </c>
      <c r="J14" s="19" t="s">
        <v>503</v>
      </c>
      <c r="K14" s="19" t="s">
        <v>504</v>
      </c>
      <c r="L14" s="19" t="s">
        <v>505</v>
      </c>
      <c r="M14" s="19" t="n">
        <v>2011</v>
      </c>
      <c r="N14" s="19" t="n">
        <v>0.41</v>
      </c>
      <c r="O14" s="19" t="n">
        <v>0.41</v>
      </c>
      <c r="P14" s="19" t="n">
        <v>205</v>
      </c>
      <c r="Q14" s="19" t="n">
        <v>205</v>
      </c>
      <c r="R14" s="19" t="s">
        <v>52</v>
      </c>
      <c r="S14" s="19" t="s">
        <v>211</v>
      </c>
      <c r="T14" s="19" t="s">
        <v>212</v>
      </c>
      <c r="U14" s="19" t="n">
        <v>345770</v>
      </c>
      <c r="W14" s="19" t="n">
        <v>1025</v>
      </c>
      <c r="X14" s="19" t="s">
        <v>447</v>
      </c>
      <c r="AA14" s="19" t="n">
        <v>90000</v>
      </c>
      <c r="AD14" s="85" t="n">
        <v>41639</v>
      </c>
      <c r="AE14" s="19" t="n">
        <v>1</v>
      </c>
      <c r="AL14" s="85" t="n">
        <v>41513</v>
      </c>
      <c r="AM14" s="19" t="n">
        <v>0.7024</v>
      </c>
      <c r="AR14" s="19" t="s">
        <v>311</v>
      </c>
      <c r="AS14" s="19" t="s">
        <v>312</v>
      </c>
      <c r="AT14" s="19" t="s">
        <v>313</v>
      </c>
      <c r="AV14" s="19" t="n">
        <v>0.41</v>
      </c>
      <c r="AW14" s="19" t="n">
        <v>0.41</v>
      </c>
      <c r="AY14" s="19" t="n">
        <v>2023</v>
      </c>
      <c r="AZ14" s="19" t="s">
        <v>476</v>
      </c>
      <c r="BA14" s="19" t="s">
        <v>480</v>
      </c>
      <c r="BB14" s="19" t="n">
        <v>0.1666</v>
      </c>
      <c r="BC14" s="85" t="n">
        <v>45491</v>
      </c>
      <c r="BD14" s="19" t="s">
        <v>450</v>
      </c>
    </row>
    <row r="15" customFormat="false" ht="12.8" hidden="false" customHeight="false" outlineLevel="0" collapsed="false">
      <c r="A15" s="19" t="s">
        <v>29</v>
      </c>
      <c r="B15" s="19" t="s">
        <v>4</v>
      </c>
      <c r="C15" s="19" t="s">
        <v>30</v>
      </c>
      <c r="D15" s="19" t="s">
        <v>66</v>
      </c>
      <c r="E15" s="19" t="s">
        <v>515</v>
      </c>
      <c r="G15" s="19" t="s">
        <v>33</v>
      </c>
      <c r="H15" s="19" t="s">
        <v>47</v>
      </c>
      <c r="I15" s="19" t="s">
        <v>516</v>
      </c>
      <c r="J15" s="19" t="s">
        <v>69</v>
      </c>
      <c r="K15" s="19" t="s">
        <v>70</v>
      </c>
      <c r="L15" s="19" t="s">
        <v>517</v>
      </c>
      <c r="M15" s="19" t="n">
        <v>2011</v>
      </c>
      <c r="N15" s="19" t="n">
        <v>50</v>
      </c>
      <c r="O15" s="19" t="n">
        <v>50.44</v>
      </c>
      <c r="P15" s="19" t="n">
        <v>25320</v>
      </c>
      <c r="Q15" s="19" t="n">
        <v>25320</v>
      </c>
      <c r="R15" s="19" t="s">
        <v>52</v>
      </c>
      <c r="S15" s="19" t="s">
        <v>246</v>
      </c>
      <c r="T15" s="19" t="s">
        <v>518</v>
      </c>
      <c r="U15" s="19" t="n">
        <v>475000</v>
      </c>
      <c r="W15" s="19" t="n">
        <v>125000</v>
      </c>
      <c r="X15" s="19" t="s">
        <v>447</v>
      </c>
      <c r="Z15" s="19" t="n">
        <v>200000</v>
      </c>
      <c r="AA15" s="19" t="n">
        <v>150000</v>
      </c>
      <c r="AC15" s="85" t="n">
        <v>40946</v>
      </c>
      <c r="AD15" s="85" t="n">
        <v>41639</v>
      </c>
      <c r="AE15" s="19" t="n">
        <v>1</v>
      </c>
      <c r="AL15" s="85" t="n">
        <v>41522</v>
      </c>
      <c r="AM15" s="19" t="n">
        <v>0.5925</v>
      </c>
      <c r="AR15" s="19" t="s">
        <v>311</v>
      </c>
      <c r="AS15" s="19" t="s">
        <v>312</v>
      </c>
      <c r="AT15" s="19" t="s">
        <v>313</v>
      </c>
      <c r="AV15" s="19" t="n">
        <v>6</v>
      </c>
      <c r="AW15" s="19" t="n">
        <v>6</v>
      </c>
      <c r="AY15" s="19" t="n">
        <v>2023</v>
      </c>
      <c r="AZ15" s="19" t="s">
        <v>476</v>
      </c>
      <c r="BA15" s="19" t="s">
        <v>449</v>
      </c>
      <c r="BB15" s="19" t="n">
        <v>0.4</v>
      </c>
      <c r="BC15" s="85" t="n">
        <v>45544</v>
      </c>
      <c r="BD15" s="19" t="s">
        <v>450</v>
      </c>
    </row>
    <row r="16" customFormat="false" ht="12.8" hidden="false" customHeight="false" outlineLevel="0" collapsed="false">
      <c r="A16" s="19" t="s">
        <v>29</v>
      </c>
      <c r="B16" s="19" t="s">
        <v>4</v>
      </c>
      <c r="C16" s="19" t="s">
        <v>30</v>
      </c>
      <c r="D16" s="19" t="s">
        <v>441</v>
      </c>
      <c r="E16" s="19" t="s">
        <v>178</v>
      </c>
      <c r="G16" s="19" t="s">
        <v>33</v>
      </c>
      <c r="H16" s="19" t="s">
        <v>47</v>
      </c>
      <c r="I16" s="19" t="s">
        <v>519</v>
      </c>
      <c r="J16" s="19" t="s">
        <v>520</v>
      </c>
      <c r="K16" s="19" t="s">
        <v>444</v>
      </c>
      <c r="L16" s="19" t="s">
        <v>521</v>
      </c>
      <c r="M16" s="19" t="n">
        <v>2012</v>
      </c>
      <c r="N16" s="19" t="n">
        <v>65</v>
      </c>
      <c r="O16" s="19" t="n">
        <v>65</v>
      </c>
      <c r="P16" s="19" t="n">
        <v>32500</v>
      </c>
      <c r="Q16" s="19" t="n">
        <v>32500</v>
      </c>
      <c r="R16" s="19" t="s">
        <v>522</v>
      </c>
      <c r="S16" s="19" t="s">
        <v>40</v>
      </c>
      <c r="T16" s="19" t="s">
        <v>41</v>
      </c>
      <c r="W16" s="19" t="n">
        <v>162500</v>
      </c>
      <c r="X16" s="19" t="s">
        <v>447</v>
      </c>
      <c r="AE16" s="19" t="n">
        <v>1</v>
      </c>
      <c r="AM16" s="19" t="n">
        <v>0.96</v>
      </c>
      <c r="AT16" s="19" t="s">
        <v>313</v>
      </c>
      <c r="AV16" s="19" t="n">
        <v>7</v>
      </c>
      <c r="AW16" s="19" t="n">
        <v>7</v>
      </c>
      <c r="AY16" s="19" t="n">
        <v>2023</v>
      </c>
      <c r="AZ16" s="19" t="s">
        <v>448</v>
      </c>
      <c r="BA16" s="19" t="s">
        <v>449</v>
      </c>
      <c r="BB16" s="19" t="n">
        <v>0.2377</v>
      </c>
      <c r="BC16" s="85" t="n">
        <v>45429</v>
      </c>
      <c r="BD16" s="19" t="s">
        <v>450</v>
      </c>
    </row>
    <row r="17" customFormat="false" ht="12.8" hidden="false" customHeight="false" outlineLevel="0" collapsed="false">
      <c r="A17" s="19" t="s">
        <v>29</v>
      </c>
      <c r="B17" s="19" t="s">
        <v>4</v>
      </c>
      <c r="C17" s="19" t="s">
        <v>30</v>
      </c>
      <c r="D17" s="19" t="s">
        <v>441</v>
      </c>
      <c r="E17" s="19" t="s">
        <v>178</v>
      </c>
      <c r="G17" s="19" t="s">
        <v>33</v>
      </c>
      <c r="H17" s="19" t="s">
        <v>47</v>
      </c>
      <c r="I17" s="19" t="s">
        <v>523</v>
      </c>
      <c r="J17" s="19" t="s">
        <v>520</v>
      </c>
      <c r="K17" s="19" t="s">
        <v>444</v>
      </c>
      <c r="L17" s="19" t="s">
        <v>524</v>
      </c>
      <c r="M17" s="19" t="n">
        <v>2012</v>
      </c>
      <c r="N17" s="19" t="n">
        <v>10.03</v>
      </c>
      <c r="O17" s="19" t="n">
        <v>10.03</v>
      </c>
      <c r="P17" s="19" t="n">
        <v>5014</v>
      </c>
      <c r="Q17" s="19" t="n">
        <v>5014</v>
      </c>
      <c r="R17" s="19" t="s">
        <v>522</v>
      </c>
      <c r="S17" s="19" t="s">
        <v>40</v>
      </c>
      <c r="T17" s="19" t="s">
        <v>41</v>
      </c>
      <c r="W17" s="19" t="n">
        <v>25075</v>
      </c>
      <c r="X17" s="19" t="s">
        <v>447</v>
      </c>
      <c r="AE17" s="19" t="n">
        <v>1</v>
      </c>
      <c r="AL17" s="85" t="n">
        <v>41914</v>
      </c>
      <c r="AM17" s="19" t="n">
        <v>0.96</v>
      </c>
      <c r="AT17" s="19" t="s">
        <v>313</v>
      </c>
      <c r="AV17" s="19" t="n">
        <v>2</v>
      </c>
      <c r="AW17" s="19" t="n">
        <v>2</v>
      </c>
      <c r="AY17" s="19" t="n">
        <v>2023</v>
      </c>
      <c r="AZ17" s="19" t="s">
        <v>448</v>
      </c>
      <c r="BA17" s="19" t="s">
        <v>449</v>
      </c>
      <c r="BB17" s="19" t="n">
        <v>0.567</v>
      </c>
      <c r="BC17" s="85" t="n">
        <v>45429</v>
      </c>
      <c r="BD17" s="19" t="s">
        <v>450</v>
      </c>
    </row>
    <row r="18" customFormat="false" ht="12.8" hidden="false" customHeight="false" outlineLevel="0" collapsed="false">
      <c r="A18" s="19" t="s">
        <v>29</v>
      </c>
      <c r="B18" s="19" t="s">
        <v>4</v>
      </c>
      <c r="C18" s="19" t="s">
        <v>30</v>
      </c>
      <c r="D18" s="19" t="s">
        <v>61</v>
      </c>
      <c r="E18" s="19" t="s">
        <v>32</v>
      </c>
      <c r="G18" s="19" t="s">
        <v>33</v>
      </c>
      <c r="H18" s="19" t="s">
        <v>47</v>
      </c>
      <c r="I18" s="19" t="s">
        <v>525</v>
      </c>
      <c r="J18" s="19" t="s">
        <v>63</v>
      </c>
      <c r="K18" s="19" t="s">
        <v>467</v>
      </c>
      <c r="L18" s="19" t="s">
        <v>526</v>
      </c>
      <c r="M18" s="19" t="n">
        <v>2012</v>
      </c>
      <c r="N18" s="19" t="n">
        <v>50.79</v>
      </c>
      <c r="O18" s="19" t="n">
        <v>50.79</v>
      </c>
      <c r="P18" s="19" t="n">
        <v>25395</v>
      </c>
      <c r="Q18" s="19" t="n">
        <v>25395</v>
      </c>
      <c r="R18" s="19" t="s">
        <v>522</v>
      </c>
      <c r="S18" s="19" t="s">
        <v>527</v>
      </c>
      <c r="T18" s="19" t="s">
        <v>528</v>
      </c>
      <c r="U18" s="19" t="n">
        <v>627687.57</v>
      </c>
      <c r="W18" s="19" t="n">
        <v>126975</v>
      </c>
      <c r="X18" s="19" t="s">
        <v>447</v>
      </c>
      <c r="Y18" s="19" t="n">
        <v>376000</v>
      </c>
      <c r="Z18" s="19" t="n">
        <v>149687.57</v>
      </c>
      <c r="AA18" s="19" t="n">
        <v>102000</v>
      </c>
      <c r="AC18" s="85" t="n">
        <v>41949</v>
      </c>
      <c r="AD18" s="85" t="n">
        <v>42004</v>
      </c>
      <c r="AE18" s="19" t="n">
        <v>1</v>
      </c>
      <c r="AM18" s="19" t="n">
        <v>0.86</v>
      </c>
      <c r="AT18" s="19" t="s">
        <v>313</v>
      </c>
      <c r="AV18" s="19" t="n">
        <v>6</v>
      </c>
      <c r="AW18" s="19" t="n">
        <v>6</v>
      </c>
      <c r="AY18" s="19" t="n">
        <v>2023</v>
      </c>
      <c r="AZ18" s="19" t="s">
        <v>490</v>
      </c>
      <c r="BA18" s="19" t="s">
        <v>480</v>
      </c>
      <c r="BB18" s="19" t="n">
        <v>0.0267</v>
      </c>
      <c r="BC18" s="85" t="n">
        <v>45484</v>
      </c>
      <c r="BD18" s="19" t="s">
        <v>450</v>
      </c>
    </row>
    <row r="19" customFormat="false" ht="12.8" hidden="false" customHeight="false" outlineLevel="0" collapsed="false">
      <c r="A19" s="19" t="s">
        <v>29</v>
      </c>
      <c r="B19" s="19" t="s">
        <v>4</v>
      </c>
      <c r="C19" s="19" t="s">
        <v>30</v>
      </c>
      <c r="D19" s="19" t="s">
        <v>72</v>
      </c>
      <c r="E19" s="19" t="s">
        <v>73</v>
      </c>
      <c r="G19" s="19" t="s">
        <v>33</v>
      </c>
      <c r="H19" s="19" t="s">
        <v>47</v>
      </c>
      <c r="I19" s="19" t="s">
        <v>529</v>
      </c>
      <c r="J19" s="19" t="s">
        <v>530</v>
      </c>
      <c r="K19" s="19" t="s">
        <v>348</v>
      </c>
      <c r="L19" s="19" t="s">
        <v>531</v>
      </c>
      <c r="M19" s="19" t="n">
        <v>2012</v>
      </c>
      <c r="N19" s="19" t="n">
        <v>50</v>
      </c>
      <c r="O19" s="19" t="n">
        <v>50</v>
      </c>
      <c r="P19" s="19" t="n">
        <v>25000</v>
      </c>
      <c r="Q19" s="19" t="n">
        <v>25000</v>
      </c>
      <c r="R19" s="19" t="s">
        <v>522</v>
      </c>
      <c r="S19" s="19" t="s">
        <v>40</v>
      </c>
      <c r="T19" s="19" t="s">
        <v>145</v>
      </c>
      <c r="U19" s="19" t="n">
        <v>1181000</v>
      </c>
      <c r="W19" s="19" t="n">
        <v>125000</v>
      </c>
      <c r="X19" s="19" t="s">
        <v>447</v>
      </c>
      <c r="Y19" s="19" t="n">
        <v>676000</v>
      </c>
      <c r="Z19" s="19" t="n">
        <v>303000</v>
      </c>
      <c r="AA19" s="19" t="n">
        <v>202000</v>
      </c>
      <c r="AC19" s="85" t="n">
        <v>41949</v>
      </c>
      <c r="AD19" s="85" t="n">
        <v>42004</v>
      </c>
      <c r="AE19" s="19" t="n">
        <v>1</v>
      </c>
      <c r="AH19" s="19" t="n">
        <v>0</v>
      </c>
      <c r="AI19" s="19" t="n">
        <v>202000</v>
      </c>
      <c r="AL19" s="85" t="n">
        <v>41901</v>
      </c>
      <c r="AM19" s="19" t="n">
        <v>0.87</v>
      </c>
      <c r="AN19" s="19" t="s">
        <v>532</v>
      </c>
      <c r="AO19" s="19" t="s">
        <v>533</v>
      </c>
      <c r="AQ19" s="85" t="n">
        <v>44558</v>
      </c>
      <c r="AR19" s="19" t="s">
        <v>325</v>
      </c>
      <c r="AS19" s="19" t="s">
        <v>534</v>
      </c>
      <c r="AT19" s="19" t="s">
        <v>313</v>
      </c>
      <c r="AV19" s="19" t="n">
        <v>6</v>
      </c>
      <c r="AW19" s="19" t="n">
        <v>6</v>
      </c>
      <c r="AY19" s="19" t="n">
        <v>2023</v>
      </c>
      <c r="AZ19" s="19" t="s">
        <v>535</v>
      </c>
      <c r="BA19" s="19" t="s">
        <v>480</v>
      </c>
      <c r="BB19" s="19" t="n">
        <v>0.051</v>
      </c>
      <c r="BC19" s="85" t="n">
        <v>45428</v>
      </c>
      <c r="BD19" s="19" t="s">
        <v>450</v>
      </c>
    </row>
    <row r="20" customFormat="false" ht="12.8" hidden="false" customHeight="false" outlineLevel="0" collapsed="false">
      <c r="A20" s="19" t="s">
        <v>29</v>
      </c>
      <c r="B20" s="19" t="s">
        <v>4</v>
      </c>
      <c r="C20" s="19" t="s">
        <v>30</v>
      </c>
      <c r="D20" s="19" t="s">
        <v>72</v>
      </c>
      <c r="E20" s="19" t="s">
        <v>73</v>
      </c>
      <c r="G20" s="19" t="s">
        <v>33</v>
      </c>
      <c r="H20" s="19" t="s">
        <v>47</v>
      </c>
      <c r="I20" s="19" t="s">
        <v>536</v>
      </c>
      <c r="J20" s="19" t="s">
        <v>530</v>
      </c>
      <c r="K20" s="19" t="s">
        <v>348</v>
      </c>
      <c r="L20" s="19" t="s">
        <v>531</v>
      </c>
      <c r="M20" s="19" t="n">
        <v>2012</v>
      </c>
      <c r="N20" s="19" t="n">
        <v>51.45</v>
      </c>
      <c r="O20" s="19" t="n">
        <v>51.45</v>
      </c>
      <c r="P20" s="19" t="n">
        <v>25723</v>
      </c>
      <c r="Q20" s="19" t="n">
        <v>25723</v>
      </c>
      <c r="R20" s="19" t="s">
        <v>52</v>
      </c>
      <c r="S20" s="19" t="s">
        <v>53</v>
      </c>
      <c r="T20" s="19" t="s">
        <v>537</v>
      </c>
      <c r="U20" s="19" t="n">
        <v>412000</v>
      </c>
      <c r="W20" s="19" t="n">
        <v>128625</v>
      </c>
      <c r="X20" s="19" t="s">
        <v>447</v>
      </c>
      <c r="Y20" s="19" t="n">
        <v>412000</v>
      </c>
      <c r="AC20" s="85" t="n">
        <v>41949</v>
      </c>
      <c r="AD20" s="85" t="n">
        <v>42004</v>
      </c>
      <c r="AE20" s="19" t="n">
        <v>1</v>
      </c>
      <c r="AH20" s="19" t="n">
        <v>0</v>
      </c>
      <c r="AI20" s="19" t="n">
        <v>202000</v>
      </c>
      <c r="AL20" s="85" t="n">
        <v>41901</v>
      </c>
      <c r="AM20" s="19" t="n">
        <v>0.87</v>
      </c>
      <c r="AQ20" s="85" t="n">
        <v>44558</v>
      </c>
      <c r="AR20" s="19" t="s">
        <v>325</v>
      </c>
      <c r="AS20" s="19" t="s">
        <v>534</v>
      </c>
      <c r="AT20" s="19" t="s">
        <v>313</v>
      </c>
      <c r="AV20" s="19" t="n">
        <v>6</v>
      </c>
      <c r="AW20" s="19" t="n">
        <v>6</v>
      </c>
      <c r="AY20" s="19" t="n">
        <v>2023</v>
      </c>
      <c r="AZ20" s="19" t="s">
        <v>448</v>
      </c>
      <c r="BA20" s="19" t="s">
        <v>449</v>
      </c>
      <c r="BB20" s="19" t="n">
        <v>0.2793</v>
      </c>
      <c r="BC20" s="85" t="n">
        <v>45427</v>
      </c>
      <c r="BD20" s="19" t="s">
        <v>450</v>
      </c>
    </row>
    <row r="21" customFormat="false" ht="12.8" hidden="false" customHeight="false" outlineLevel="0" collapsed="false">
      <c r="A21" s="19" t="s">
        <v>29</v>
      </c>
      <c r="B21" s="19" t="s">
        <v>4</v>
      </c>
      <c r="C21" s="19" t="s">
        <v>30</v>
      </c>
      <c r="D21" s="19" t="s">
        <v>538</v>
      </c>
      <c r="E21" s="19" t="s">
        <v>539</v>
      </c>
      <c r="G21" s="19" t="s">
        <v>33</v>
      </c>
      <c r="H21" s="19" t="s">
        <v>47</v>
      </c>
      <c r="I21" s="19" t="s">
        <v>540</v>
      </c>
      <c r="J21" s="19" t="s">
        <v>541</v>
      </c>
      <c r="L21" s="19" t="s">
        <v>542</v>
      </c>
      <c r="M21" s="19" t="n">
        <v>2012</v>
      </c>
      <c r="N21" s="19" t="n">
        <v>1.93</v>
      </c>
      <c r="O21" s="19" t="n">
        <v>1.93</v>
      </c>
      <c r="P21" s="19" t="n">
        <v>772</v>
      </c>
      <c r="Q21" s="19" t="n">
        <v>772</v>
      </c>
      <c r="R21" s="19" t="s">
        <v>522</v>
      </c>
      <c r="S21" s="19" t="s">
        <v>527</v>
      </c>
      <c r="T21" s="19" t="s">
        <v>543</v>
      </c>
      <c r="W21" s="19" t="n">
        <v>4825</v>
      </c>
      <c r="X21" s="19" t="s">
        <v>447</v>
      </c>
      <c r="AE21" s="19" t="n">
        <v>1</v>
      </c>
      <c r="AL21" s="85" t="n">
        <v>41948</v>
      </c>
      <c r="AM21" s="19" t="n">
        <v>1</v>
      </c>
      <c r="AP21" s="19" t="s">
        <v>336</v>
      </c>
      <c r="AT21" s="19" t="s">
        <v>313</v>
      </c>
      <c r="AV21" s="19" t="n">
        <v>1</v>
      </c>
      <c r="AW21" s="19" t="n">
        <v>1</v>
      </c>
      <c r="AY21" s="19" t="n">
        <v>2023</v>
      </c>
      <c r="AZ21" s="19" t="s">
        <v>490</v>
      </c>
      <c r="BA21" s="19" t="s">
        <v>480</v>
      </c>
      <c r="BB21" s="19" t="n">
        <v>0.03</v>
      </c>
      <c r="BC21" s="85" t="n">
        <v>45421</v>
      </c>
      <c r="BD21" s="19" t="s">
        <v>450</v>
      </c>
    </row>
    <row r="22" customFormat="false" ht="12.8" hidden="false" customHeight="false" outlineLevel="0" collapsed="false">
      <c r="A22" s="19" t="s">
        <v>29</v>
      </c>
      <c r="B22" s="19" t="s">
        <v>4</v>
      </c>
      <c r="C22" s="19" t="s">
        <v>30</v>
      </c>
      <c r="D22" s="19" t="s">
        <v>544</v>
      </c>
      <c r="E22" s="19" t="s">
        <v>221</v>
      </c>
      <c r="G22" s="19" t="s">
        <v>33</v>
      </c>
      <c r="H22" s="19" t="s">
        <v>47</v>
      </c>
      <c r="I22" s="19" t="s">
        <v>545</v>
      </c>
      <c r="J22" s="19" t="s">
        <v>546</v>
      </c>
      <c r="L22" s="19" t="s">
        <v>547</v>
      </c>
      <c r="M22" s="19" t="n">
        <v>2012</v>
      </c>
      <c r="N22" s="19" t="n">
        <v>2.99</v>
      </c>
      <c r="O22" s="19" t="n">
        <v>2.99</v>
      </c>
      <c r="P22" s="19" t="n">
        <v>1195</v>
      </c>
      <c r="Q22" s="19" t="n">
        <v>1195</v>
      </c>
      <c r="R22" s="19" t="s">
        <v>522</v>
      </c>
      <c r="S22" s="19" t="s">
        <v>40</v>
      </c>
      <c r="T22" s="19" t="s">
        <v>41</v>
      </c>
      <c r="W22" s="19" t="n">
        <v>7475</v>
      </c>
      <c r="X22" s="19" t="s">
        <v>447</v>
      </c>
      <c r="AE22" s="19" t="n">
        <v>1</v>
      </c>
      <c r="AL22" s="85" t="n">
        <v>41947</v>
      </c>
      <c r="AM22" s="19" t="n">
        <v>0.92</v>
      </c>
      <c r="AT22" s="19" t="s">
        <v>313</v>
      </c>
      <c r="AV22" s="19" t="n">
        <v>1</v>
      </c>
      <c r="AW22" s="19" t="n">
        <v>1</v>
      </c>
      <c r="AY22" s="19" t="n">
        <v>2023</v>
      </c>
      <c r="AZ22" s="19" t="s">
        <v>457</v>
      </c>
      <c r="BA22" s="19" t="s">
        <v>449</v>
      </c>
      <c r="BB22" s="19" t="n">
        <v>0.5225</v>
      </c>
      <c r="BC22" s="85" t="n">
        <v>45554</v>
      </c>
      <c r="BD22" s="19" t="s">
        <v>450</v>
      </c>
    </row>
    <row r="23" customFormat="false" ht="12.8" hidden="false" customHeight="false" outlineLevel="0" collapsed="false">
      <c r="A23" s="19" t="s">
        <v>29</v>
      </c>
      <c r="B23" s="19" t="s">
        <v>4</v>
      </c>
      <c r="C23" s="19" t="s">
        <v>30</v>
      </c>
      <c r="D23" s="19" t="s">
        <v>548</v>
      </c>
      <c r="E23" s="19" t="s">
        <v>67</v>
      </c>
      <c r="G23" s="19" t="s">
        <v>33</v>
      </c>
      <c r="H23" s="19" t="s">
        <v>47</v>
      </c>
      <c r="I23" s="19" t="s">
        <v>549</v>
      </c>
      <c r="J23" s="19" t="s">
        <v>550</v>
      </c>
      <c r="L23" s="19" t="s">
        <v>551</v>
      </c>
      <c r="M23" s="19" t="n">
        <v>2012</v>
      </c>
      <c r="N23" s="19" t="n">
        <v>2</v>
      </c>
      <c r="O23" s="19" t="n">
        <v>2</v>
      </c>
      <c r="P23" s="19" t="n">
        <v>800</v>
      </c>
      <c r="Q23" s="19" t="n">
        <v>800</v>
      </c>
      <c r="R23" s="19" t="s">
        <v>522</v>
      </c>
      <c r="S23" s="19" t="s">
        <v>40</v>
      </c>
      <c r="T23" s="19" t="s">
        <v>41</v>
      </c>
      <c r="W23" s="19" t="n">
        <v>5000</v>
      </c>
      <c r="X23" s="19" t="s">
        <v>447</v>
      </c>
      <c r="AE23" s="19" t="n">
        <v>1</v>
      </c>
      <c r="AL23" s="85" t="n">
        <v>41948</v>
      </c>
      <c r="AM23" s="19" t="n">
        <v>0.94</v>
      </c>
      <c r="AN23" s="19" t="s">
        <v>552</v>
      </c>
      <c r="AO23" s="19" t="s">
        <v>553</v>
      </c>
      <c r="AT23" s="19" t="s">
        <v>313</v>
      </c>
      <c r="AV23" s="19" t="n">
        <v>1</v>
      </c>
      <c r="AW23" s="19" t="n">
        <v>1</v>
      </c>
      <c r="AY23" s="19" t="n">
        <v>2023</v>
      </c>
      <c r="AZ23" s="19" t="s">
        <v>457</v>
      </c>
      <c r="BA23" s="19" t="s">
        <v>449</v>
      </c>
      <c r="BB23" s="19" t="n">
        <v>0.42</v>
      </c>
      <c r="BC23" s="85" t="n">
        <v>45541</v>
      </c>
      <c r="BD23" s="19" t="s">
        <v>450</v>
      </c>
    </row>
    <row r="24" customFormat="false" ht="12.8" hidden="false" customHeight="false" outlineLevel="0" collapsed="false">
      <c r="A24" s="19" t="s">
        <v>29</v>
      </c>
      <c r="B24" s="19" t="s">
        <v>4</v>
      </c>
      <c r="C24" s="19" t="s">
        <v>30</v>
      </c>
      <c r="D24" s="19" t="s">
        <v>554</v>
      </c>
      <c r="E24" s="19" t="s">
        <v>555</v>
      </c>
      <c r="G24" s="19" t="s">
        <v>33</v>
      </c>
      <c r="H24" s="19" t="s">
        <v>47</v>
      </c>
      <c r="I24" s="19" t="s">
        <v>556</v>
      </c>
      <c r="J24" s="19" t="s">
        <v>557</v>
      </c>
      <c r="L24" s="19" t="s">
        <v>558</v>
      </c>
      <c r="M24" s="19" t="n">
        <v>2012</v>
      </c>
      <c r="N24" s="19" t="n">
        <v>0.01</v>
      </c>
      <c r="O24" s="19" t="n">
        <v>0.01</v>
      </c>
      <c r="P24" s="19" t="n">
        <v>5</v>
      </c>
      <c r="Q24" s="19" t="n">
        <v>5</v>
      </c>
      <c r="R24" s="19" t="s">
        <v>522</v>
      </c>
      <c r="S24" s="19" t="s">
        <v>40</v>
      </c>
      <c r="T24" s="19" t="s">
        <v>41</v>
      </c>
      <c r="U24" s="19" t="n">
        <v>3000</v>
      </c>
      <c r="W24" s="19" t="n">
        <v>25</v>
      </c>
      <c r="X24" s="19" t="s">
        <v>447</v>
      </c>
      <c r="AE24" s="19" t="n">
        <v>1</v>
      </c>
      <c r="AL24" s="85" t="n">
        <v>41947</v>
      </c>
      <c r="AM24" s="19" t="n">
        <v>1</v>
      </c>
      <c r="AT24" s="19" t="s">
        <v>313</v>
      </c>
      <c r="AV24" s="19" t="n">
        <v>0.01</v>
      </c>
      <c r="AW24" s="19" t="n">
        <v>0.01</v>
      </c>
      <c r="AY24" s="19" t="n">
        <v>2023</v>
      </c>
      <c r="BD24" s="19" t="s">
        <v>450</v>
      </c>
    </row>
    <row r="25" customFormat="false" ht="12.8" hidden="false" customHeight="false" outlineLevel="0" collapsed="false">
      <c r="A25" s="19" t="s">
        <v>29</v>
      </c>
      <c r="B25" s="19" t="s">
        <v>4</v>
      </c>
      <c r="C25" s="19" t="s">
        <v>43</v>
      </c>
      <c r="D25" s="19" t="s">
        <v>559</v>
      </c>
      <c r="E25" s="19" t="s">
        <v>560</v>
      </c>
      <c r="G25" s="19" t="s">
        <v>80</v>
      </c>
      <c r="H25" s="19" t="s">
        <v>47</v>
      </c>
      <c r="I25" s="19" t="s">
        <v>561</v>
      </c>
      <c r="J25" s="19" t="s">
        <v>562</v>
      </c>
      <c r="L25" s="19" t="s">
        <v>563</v>
      </c>
      <c r="M25" s="19" t="n">
        <v>2012</v>
      </c>
      <c r="N25" s="19" t="n">
        <v>0.35</v>
      </c>
      <c r="O25" s="19" t="n">
        <v>0.35</v>
      </c>
      <c r="P25" s="19" t="n">
        <v>140</v>
      </c>
      <c r="Q25" s="19" t="n">
        <v>140</v>
      </c>
      <c r="R25" s="19" t="s">
        <v>522</v>
      </c>
      <c r="S25" s="19" t="s">
        <v>40</v>
      </c>
      <c r="T25" s="19" t="s">
        <v>564</v>
      </c>
      <c r="W25" s="19" t="n">
        <v>875</v>
      </c>
      <c r="X25" s="19" t="s">
        <v>447</v>
      </c>
      <c r="AE25" s="19" t="n">
        <v>1</v>
      </c>
      <c r="AL25" s="85" t="n">
        <v>41947</v>
      </c>
      <c r="AM25" s="19" t="n">
        <v>0.91</v>
      </c>
      <c r="AP25" s="19" t="s">
        <v>336</v>
      </c>
      <c r="AT25" s="19" t="s">
        <v>313</v>
      </c>
      <c r="AV25" s="19" t="n">
        <v>0.35</v>
      </c>
      <c r="AW25" s="19" t="n">
        <v>0.35</v>
      </c>
      <c r="AY25" s="19" t="n">
        <v>2023</v>
      </c>
      <c r="AZ25" s="19" t="s">
        <v>457</v>
      </c>
      <c r="BA25" s="19" t="s">
        <v>458</v>
      </c>
      <c r="BB25" s="19" t="n">
        <v>0.8643</v>
      </c>
      <c r="BC25" s="85" t="n">
        <v>45425</v>
      </c>
      <c r="BD25" s="19" t="s">
        <v>450</v>
      </c>
    </row>
    <row r="26" customFormat="false" ht="12.8" hidden="false" customHeight="false" outlineLevel="0" collapsed="false">
      <c r="A26" s="19" t="s">
        <v>29</v>
      </c>
      <c r="B26" s="19" t="s">
        <v>4</v>
      </c>
      <c r="C26" s="19" t="s">
        <v>43</v>
      </c>
      <c r="D26" s="19" t="s">
        <v>565</v>
      </c>
      <c r="E26" s="19" t="s">
        <v>560</v>
      </c>
      <c r="G26" s="19" t="s">
        <v>416</v>
      </c>
      <c r="H26" s="19" t="s">
        <v>47</v>
      </c>
      <c r="I26" s="19" t="s">
        <v>566</v>
      </c>
      <c r="J26" s="19" t="s">
        <v>567</v>
      </c>
      <c r="L26" s="19" t="s">
        <v>568</v>
      </c>
      <c r="M26" s="19" t="n">
        <v>2012</v>
      </c>
      <c r="N26" s="19" t="n">
        <v>0.25</v>
      </c>
      <c r="O26" s="19" t="n">
        <v>0.25</v>
      </c>
      <c r="P26" s="19" t="n">
        <v>100</v>
      </c>
      <c r="Q26" s="19" t="n">
        <v>100</v>
      </c>
      <c r="R26" s="19" t="s">
        <v>522</v>
      </c>
      <c r="S26" s="19" t="s">
        <v>40</v>
      </c>
      <c r="T26" s="19" t="s">
        <v>569</v>
      </c>
      <c r="W26" s="19" t="n">
        <v>625</v>
      </c>
      <c r="X26" s="19" t="s">
        <v>447</v>
      </c>
      <c r="AE26" s="19" t="n">
        <v>1</v>
      </c>
      <c r="AL26" s="85" t="n">
        <v>41947</v>
      </c>
      <c r="AM26" s="19" t="n">
        <v>0.87</v>
      </c>
      <c r="AP26" s="19" t="s">
        <v>336</v>
      </c>
      <c r="AT26" s="19" t="s">
        <v>313</v>
      </c>
      <c r="AV26" s="19" t="n">
        <v>0.25</v>
      </c>
      <c r="AW26" s="19" t="n">
        <v>0.25</v>
      </c>
      <c r="AY26" s="19" t="n">
        <v>2023</v>
      </c>
      <c r="AZ26" s="19" t="s">
        <v>448</v>
      </c>
      <c r="BA26" s="19" t="s">
        <v>501</v>
      </c>
      <c r="BB26" s="19" t="n">
        <v>0.776</v>
      </c>
      <c r="BC26" s="85" t="n">
        <v>45574</v>
      </c>
      <c r="BD26" s="19" t="s">
        <v>450</v>
      </c>
    </row>
    <row r="27" customFormat="false" ht="12.8" hidden="false" customHeight="false" outlineLevel="0" collapsed="false">
      <c r="A27" s="19" t="s">
        <v>29</v>
      </c>
      <c r="B27" s="19" t="s">
        <v>4</v>
      </c>
      <c r="C27" s="19" t="s">
        <v>43</v>
      </c>
      <c r="D27" s="19" t="s">
        <v>570</v>
      </c>
      <c r="E27" s="19" t="s">
        <v>560</v>
      </c>
      <c r="G27" s="19" t="s">
        <v>80</v>
      </c>
      <c r="H27" s="19" t="s">
        <v>47</v>
      </c>
      <c r="I27" s="19" t="s">
        <v>571</v>
      </c>
      <c r="J27" s="19" t="s">
        <v>572</v>
      </c>
      <c r="L27" s="19" t="s">
        <v>563</v>
      </c>
      <c r="M27" s="19" t="n">
        <v>2012</v>
      </c>
      <c r="N27" s="19" t="n">
        <v>0.27</v>
      </c>
      <c r="O27" s="19" t="n">
        <v>0.27</v>
      </c>
      <c r="P27" s="19" t="n">
        <v>109</v>
      </c>
      <c r="Q27" s="19" t="n">
        <v>109</v>
      </c>
      <c r="R27" s="19" t="s">
        <v>52</v>
      </c>
      <c r="S27" s="19" t="s">
        <v>53</v>
      </c>
      <c r="T27" s="19" t="s">
        <v>573</v>
      </c>
      <c r="W27" s="19" t="n">
        <v>675</v>
      </c>
      <c r="X27" s="19" t="s">
        <v>447</v>
      </c>
      <c r="AE27" s="19" t="n">
        <v>1</v>
      </c>
      <c r="AL27" s="85" t="n">
        <v>41947</v>
      </c>
      <c r="AM27" s="19" t="n">
        <v>0.98</v>
      </c>
      <c r="AP27" s="19" t="s">
        <v>336</v>
      </c>
      <c r="AT27" s="19" t="s">
        <v>313</v>
      </c>
      <c r="AV27" s="19" t="n">
        <v>0.27</v>
      </c>
      <c r="AW27" s="19" t="n">
        <v>0.27</v>
      </c>
      <c r="AY27" s="19" t="n">
        <v>2023</v>
      </c>
      <c r="AZ27" s="19" t="s">
        <v>448</v>
      </c>
      <c r="BA27" s="19" t="s">
        <v>574</v>
      </c>
      <c r="BB27" s="19" t="n">
        <v>0.0625</v>
      </c>
      <c r="BC27" s="85" t="n">
        <v>45425</v>
      </c>
      <c r="BD27" s="19" t="s">
        <v>450</v>
      </c>
    </row>
    <row r="28" customFormat="false" ht="12.8" hidden="false" customHeight="false" outlineLevel="0" collapsed="false">
      <c r="A28" s="19" t="s">
        <v>29</v>
      </c>
      <c r="B28" s="19" t="s">
        <v>4</v>
      </c>
      <c r="C28" s="19" t="s">
        <v>43</v>
      </c>
      <c r="D28" s="19" t="s">
        <v>575</v>
      </c>
      <c r="E28" s="19" t="s">
        <v>560</v>
      </c>
      <c r="G28" s="19" t="s">
        <v>80</v>
      </c>
      <c r="H28" s="19" t="s">
        <v>47</v>
      </c>
      <c r="I28" s="19" t="s">
        <v>576</v>
      </c>
      <c r="J28" s="19" t="s">
        <v>577</v>
      </c>
      <c r="L28" s="19" t="s">
        <v>563</v>
      </c>
      <c r="M28" s="19" t="n">
        <v>2012</v>
      </c>
      <c r="N28" s="19" t="n">
        <v>0.72</v>
      </c>
      <c r="O28" s="19" t="n">
        <v>0.72</v>
      </c>
      <c r="P28" s="19" t="n">
        <v>289</v>
      </c>
      <c r="Q28" s="19" t="n">
        <v>289</v>
      </c>
      <c r="R28" s="19" t="s">
        <v>52</v>
      </c>
      <c r="S28" s="19" t="s">
        <v>578</v>
      </c>
      <c r="T28" s="19" t="s">
        <v>579</v>
      </c>
      <c r="W28" s="19" t="n">
        <v>1800</v>
      </c>
      <c r="X28" s="19" t="s">
        <v>447</v>
      </c>
      <c r="AE28" s="19" t="n">
        <v>1</v>
      </c>
      <c r="AL28" s="85" t="n">
        <v>41948</v>
      </c>
      <c r="AM28" s="19" t="n">
        <v>0.99</v>
      </c>
      <c r="AP28" s="19" t="s">
        <v>336</v>
      </c>
      <c r="AT28" s="19" t="s">
        <v>313</v>
      </c>
      <c r="AV28" s="19" t="n">
        <v>0.72</v>
      </c>
      <c r="AW28" s="19" t="n">
        <v>0.72</v>
      </c>
      <c r="AY28" s="19" t="n">
        <v>2023</v>
      </c>
      <c r="AZ28" s="19" t="s">
        <v>476</v>
      </c>
      <c r="BA28" s="19" t="s">
        <v>480</v>
      </c>
      <c r="BB28" s="19" t="n">
        <v>0.0625</v>
      </c>
      <c r="BC28" s="85" t="n">
        <v>45568</v>
      </c>
      <c r="BD28" s="19" t="s">
        <v>450</v>
      </c>
    </row>
    <row r="29" customFormat="false" ht="12.8" hidden="false" customHeight="false" outlineLevel="0" collapsed="false">
      <c r="A29" s="19" t="s">
        <v>29</v>
      </c>
      <c r="B29" s="19" t="s">
        <v>4</v>
      </c>
      <c r="C29" s="19" t="s">
        <v>43</v>
      </c>
      <c r="D29" s="19" t="s">
        <v>580</v>
      </c>
      <c r="E29" s="19" t="s">
        <v>560</v>
      </c>
      <c r="G29" s="19" t="s">
        <v>80</v>
      </c>
      <c r="H29" s="19" t="s">
        <v>47</v>
      </c>
      <c r="I29" s="19" t="s">
        <v>581</v>
      </c>
      <c r="J29" s="19" t="s">
        <v>582</v>
      </c>
      <c r="L29" s="19" t="s">
        <v>563</v>
      </c>
      <c r="M29" s="19" t="n">
        <v>2012</v>
      </c>
      <c r="N29" s="19" t="n">
        <v>0.41</v>
      </c>
      <c r="O29" s="19" t="n">
        <v>0.41</v>
      </c>
      <c r="P29" s="19" t="n">
        <v>162</v>
      </c>
      <c r="Q29" s="19" t="n">
        <v>162</v>
      </c>
      <c r="R29" s="19" t="s">
        <v>52</v>
      </c>
      <c r="S29" s="19" t="s">
        <v>53</v>
      </c>
      <c r="T29" s="19" t="s">
        <v>573</v>
      </c>
      <c r="W29" s="19" t="n">
        <v>1025</v>
      </c>
      <c r="X29" s="19" t="s">
        <v>447</v>
      </c>
      <c r="AE29" s="19" t="n">
        <v>1</v>
      </c>
      <c r="AL29" s="85" t="n">
        <v>41948</v>
      </c>
      <c r="AM29" s="19" t="n">
        <v>0.94</v>
      </c>
      <c r="AP29" s="19" t="s">
        <v>336</v>
      </c>
      <c r="AT29" s="19" t="s">
        <v>313</v>
      </c>
      <c r="AV29" s="19" t="n">
        <v>0.41</v>
      </c>
      <c r="AW29" s="19" t="n">
        <v>0.41</v>
      </c>
      <c r="AY29" s="19" t="n">
        <v>2023</v>
      </c>
      <c r="AZ29" s="19" t="s">
        <v>535</v>
      </c>
      <c r="BA29" s="19" t="s">
        <v>574</v>
      </c>
      <c r="BB29" s="19" t="n">
        <v>0.1037</v>
      </c>
      <c r="BC29" s="85" t="n">
        <v>45425</v>
      </c>
      <c r="BD29" s="19" t="s">
        <v>450</v>
      </c>
    </row>
    <row r="30" customFormat="false" ht="12.8" hidden="false" customHeight="false" outlineLevel="0" collapsed="false">
      <c r="A30" s="19" t="s">
        <v>29</v>
      </c>
      <c r="B30" s="19" t="s">
        <v>4</v>
      </c>
      <c r="C30" s="19" t="s">
        <v>43</v>
      </c>
      <c r="D30" s="19" t="s">
        <v>583</v>
      </c>
      <c r="E30" s="19" t="s">
        <v>584</v>
      </c>
      <c r="G30" s="19" t="s">
        <v>416</v>
      </c>
      <c r="H30" s="19" t="s">
        <v>47</v>
      </c>
      <c r="I30" s="19" t="s">
        <v>585</v>
      </c>
      <c r="J30" s="19" t="s">
        <v>586</v>
      </c>
      <c r="L30" s="19" t="s">
        <v>587</v>
      </c>
      <c r="M30" s="19" t="n">
        <v>2012</v>
      </c>
      <c r="N30" s="19" t="n">
        <v>2.41</v>
      </c>
      <c r="O30" s="19" t="n">
        <v>2.41</v>
      </c>
      <c r="P30" s="19" t="n">
        <v>963</v>
      </c>
      <c r="Q30" s="19" t="n">
        <v>963</v>
      </c>
      <c r="R30" s="19" t="s">
        <v>522</v>
      </c>
      <c r="S30" s="19" t="s">
        <v>40</v>
      </c>
      <c r="T30" s="19" t="s">
        <v>588</v>
      </c>
      <c r="W30" s="19" t="n">
        <v>6025</v>
      </c>
      <c r="X30" s="19" t="s">
        <v>447</v>
      </c>
      <c r="AE30" s="19" t="n">
        <v>1</v>
      </c>
      <c r="AL30" s="85" t="n">
        <v>41948</v>
      </c>
      <c r="AM30" s="19" t="n">
        <v>0.85</v>
      </c>
      <c r="AP30" s="19" t="s">
        <v>336</v>
      </c>
      <c r="AT30" s="19" t="s">
        <v>313</v>
      </c>
      <c r="AV30" s="19" t="n">
        <v>1</v>
      </c>
      <c r="AW30" s="19" t="n">
        <v>1</v>
      </c>
      <c r="AY30" s="19" t="n">
        <v>2023</v>
      </c>
      <c r="AZ30" s="19" t="s">
        <v>490</v>
      </c>
      <c r="BA30" s="19" t="s">
        <v>480</v>
      </c>
      <c r="BB30" s="19" t="n">
        <v>0.02</v>
      </c>
      <c r="BC30" s="85" t="n">
        <v>45425</v>
      </c>
      <c r="BD30" s="19" t="s">
        <v>450</v>
      </c>
    </row>
    <row r="31" customFormat="false" ht="12.8" hidden="false" customHeight="false" outlineLevel="0" collapsed="false">
      <c r="A31" s="19" t="s">
        <v>29</v>
      </c>
      <c r="B31" s="19" t="s">
        <v>4</v>
      </c>
      <c r="C31" s="19" t="s">
        <v>43</v>
      </c>
      <c r="D31" s="19" t="s">
        <v>589</v>
      </c>
      <c r="E31" s="19" t="s">
        <v>584</v>
      </c>
      <c r="G31" s="19" t="s">
        <v>416</v>
      </c>
      <c r="H31" s="19" t="s">
        <v>47</v>
      </c>
      <c r="I31" s="19" t="s">
        <v>590</v>
      </c>
      <c r="J31" s="19" t="s">
        <v>591</v>
      </c>
      <c r="L31" s="19" t="s">
        <v>587</v>
      </c>
      <c r="M31" s="19" t="n">
        <v>2012</v>
      </c>
      <c r="N31" s="19" t="n">
        <v>0.05</v>
      </c>
      <c r="O31" s="19" t="n">
        <v>0.05</v>
      </c>
      <c r="P31" s="19" t="n">
        <v>21</v>
      </c>
      <c r="Q31" s="19" t="n">
        <v>21</v>
      </c>
      <c r="R31" s="19" t="s">
        <v>522</v>
      </c>
      <c r="S31" s="19" t="s">
        <v>40</v>
      </c>
      <c r="T31" s="19" t="s">
        <v>592</v>
      </c>
      <c r="W31" s="19" t="n">
        <v>125</v>
      </c>
      <c r="X31" s="19" t="s">
        <v>447</v>
      </c>
      <c r="AE31" s="19" t="n">
        <v>1</v>
      </c>
      <c r="AL31" s="85" t="n">
        <v>41948</v>
      </c>
      <c r="AM31" s="19" t="n">
        <v>0.99</v>
      </c>
      <c r="AP31" s="19" t="s">
        <v>336</v>
      </c>
      <c r="AT31" s="19" t="s">
        <v>313</v>
      </c>
      <c r="AV31" s="19" t="n">
        <v>0.05</v>
      </c>
      <c r="AW31" s="19" t="n">
        <v>0.05</v>
      </c>
      <c r="AY31" s="19" t="n">
        <v>2023</v>
      </c>
      <c r="AZ31" s="19" t="s">
        <v>476</v>
      </c>
      <c r="BA31" s="19" t="s">
        <v>449</v>
      </c>
      <c r="BB31" s="19" t="n">
        <v>0.1429</v>
      </c>
      <c r="BC31" s="85" t="n">
        <v>45425</v>
      </c>
      <c r="BD31" s="19" t="s">
        <v>450</v>
      </c>
    </row>
    <row r="32" customFormat="false" ht="12.8" hidden="false" customHeight="false" outlineLevel="0" collapsed="false">
      <c r="A32" s="19" t="s">
        <v>29</v>
      </c>
      <c r="B32" s="19" t="s">
        <v>4</v>
      </c>
      <c r="C32" s="19" t="s">
        <v>30</v>
      </c>
      <c r="D32" s="19" t="s">
        <v>554</v>
      </c>
      <c r="E32" s="19" t="s">
        <v>555</v>
      </c>
      <c r="G32" s="19" t="s">
        <v>33</v>
      </c>
      <c r="H32" s="19" t="s">
        <v>47</v>
      </c>
      <c r="I32" s="19" t="s">
        <v>593</v>
      </c>
      <c r="J32" s="19" t="s">
        <v>557</v>
      </c>
      <c r="L32" s="19" t="s">
        <v>594</v>
      </c>
      <c r="M32" s="19" t="n">
        <v>2012</v>
      </c>
      <c r="N32" s="19" t="n">
        <v>3</v>
      </c>
      <c r="O32" s="19" t="n">
        <v>3</v>
      </c>
      <c r="P32" s="19" t="n">
        <v>1200</v>
      </c>
      <c r="Q32" s="19" t="n">
        <v>1200</v>
      </c>
      <c r="R32" s="19" t="s">
        <v>522</v>
      </c>
      <c r="S32" s="19" t="s">
        <v>40</v>
      </c>
      <c r="T32" s="19" t="s">
        <v>41</v>
      </c>
      <c r="U32" s="19" t="n">
        <v>90000</v>
      </c>
      <c r="W32" s="19" t="n">
        <v>7500</v>
      </c>
      <c r="X32" s="19" t="s">
        <v>447</v>
      </c>
      <c r="AE32" s="19" t="n">
        <v>1</v>
      </c>
      <c r="AL32" s="85" t="n">
        <v>41947</v>
      </c>
      <c r="AM32" s="19" t="n">
        <v>0.89</v>
      </c>
      <c r="AP32" s="19" t="s">
        <v>336</v>
      </c>
      <c r="AT32" s="19" t="s">
        <v>313</v>
      </c>
      <c r="AV32" s="19" t="n">
        <v>1</v>
      </c>
      <c r="AW32" s="19" t="n">
        <v>1</v>
      </c>
      <c r="AY32" s="19" t="n">
        <v>2023</v>
      </c>
      <c r="BD32" s="19" t="s">
        <v>450</v>
      </c>
    </row>
    <row r="33" customFormat="false" ht="12.8" hidden="false" customHeight="false" outlineLevel="0" collapsed="false">
      <c r="A33" s="19" t="s">
        <v>29</v>
      </c>
      <c r="B33" s="19" t="s">
        <v>4</v>
      </c>
      <c r="C33" s="19" t="s">
        <v>30</v>
      </c>
      <c r="D33" s="19" t="s">
        <v>595</v>
      </c>
      <c r="E33" s="19" t="s">
        <v>79</v>
      </c>
      <c r="G33" s="19" t="s">
        <v>80</v>
      </c>
      <c r="H33" s="19" t="s">
        <v>47</v>
      </c>
      <c r="I33" s="19" t="s">
        <v>596</v>
      </c>
      <c r="J33" s="19" t="s">
        <v>597</v>
      </c>
      <c r="L33" s="19" t="s">
        <v>598</v>
      </c>
      <c r="M33" s="19" t="n">
        <v>2012</v>
      </c>
      <c r="N33" s="19" t="n">
        <v>0.17</v>
      </c>
      <c r="O33" s="19" t="n">
        <v>0.17</v>
      </c>
      <c r="P33" s="19" t="n">
        <v>68</v>
      </c>
      <c r="Q33" s="19" t="n">
        <v>68</v>
      </c>
      <c r="R33" s="19" t="s">
        <v>522</v>
      </c>
      <c r="S33" s="19" t="s">
        <v>40</v>
      </c>
      <c r="T33" s="19" t="s">
        <v>41</v>
      </c>
      <c r="W33" s="19" t="n">
        <v>425</v>
      </c>
      <c r="X33" s="19" t="s">
        <v>447</v>
      </c>
      <c r="AE33" s="19" t="n">
        <v>1</v>
      </c>
      <c r="AL33" s="85" t="n">
        <v>41947</v>
      </c>
      <c r="AM33" s="19" t="n">
        <v>0.85</v>
      </c>
      <c r="AT33" s="19" t="s">
        <v>313</v>
      </c>
      <c r="AV33" s="19" t="n">
        <v>0.17</v>
      </c>
      <c r="AW33" s="19" t="n">
        <v>0.17</v>
      </c>
      <c r="AY33" s="19" t="n">
        <v>2023</v>
      </c>
      <c r="AZ33" s="19" t="s">
        <v>457</v>
      </c>
      <c r="BA33" s="19" t="s">
        <v>458</v>
      </c>
      <c r="BB33" s="19" t="n">
        <v>0.5647</v>
      </c>
      <c r="BC33" s="85" t="n">
        <v>45606</v>
      </c>
      <c r="BD33" s="19" t="s">
        <v>450</v>
      </c>
    </row>
    <row r="34" customFormat="false" ht="12.8" hidden="false" customHeight="false" outlineLevel="0" collapsed="false">
      <c r="A34" s="19" t="s">
        <v>29</v>
      </c>
      <c r="B34" s="19" t="s">
        <v>4</v>
      </c>
      <c r="C34" s="19" t="s">
        <v>30</v>
      </c>
      <c r="D34" s="19" t="s">
        <v>481</v>
      </c>
      <c r="E34" s="19" t="s">
        <v>79</v>
      </c>
      <c r="G34" s="19" t="s">
        <v>80</v>
      </c>
      <c r="H34" s="19" t="s">
        <v>47</v>
      </c>
      <c r="I34" s="19" t="s">
        <v>599</v>
      </c>
      <c r="J34" s="19" t="s">
        <v>600</v>
      </c>
      <c r="L34" s="19" t="s">
        <v>598</v>
      </c>
      <c r="M34" s="19" t="n">
        <v>2012</v>
      </c>
      <c r="N34" s="19" t="n">
        <v>1.83</v>
      </c>
      <c r="O34" s="19" t="n">
        <v>1.83</v>
      </c>
      <c r="P34" s="19" t="n">
        <v>732</v>
      </c>
      <c r="Q34" s="19" t="n">
        <v>732</v>
      </c>
      <c r="R34" s="19" t="s">
        <v>522</v>
      </c>
      <c r="S34" s="19" t="s">
        <v>40</v>
      </c>
      <c r="T34" s="19" t="s">
        <v>41</v>
      </c>
      <c r="W34" s="19" t="n">
        <v>4575</v>
      </c>
      <c r="X34" s="19" t="s">
        <v>447</v>
      </c>
      <c r="AE34" s="19" t="n">
        <v>1</v>
      </c>
      <c r="AL34" s="85" t="n">
        <v>41941</v>
      </c>
      <c r="AM34" s="19" t="n">
        <v>0.92</v>
      </c>
      <c r="AT34" s="19" t="s">
        <v>313</v>
      </c>
      <c r="AV34" s="19" t="n">
        <v>1</v>
      </c>
      <c r="AW34" s="19" t="n">
        <v>1</v>
      </c>
      <c r="AY34" s="19" t="n">
        <v>2023</v>
      </c>
      <c r="AZ34" s="19" t="s">
        <v>490</v>
      </c>
      <c r="BA34" s="19" t="s">
        <v>480</v>
      </c>
      <c r="BB34" s="19" t="n">
        <v>0.055</v>
      </c>
      <c r="BC34" s="85" t="n">
        <v>45606</v>
      </c>
      <c r="BD34" s="19" t="s">
        <v>450</v>
      </c>
    </row>
    <row r="35" customFormat="false" ht="12.8" hidden="false" customHeight="false" outlineLevel="0" collapsed="false">
      <c r="A35" s="19" t="s">
        <v>29</v>
      </c>
      <c r="B35" s="19" t="s">
        <v>4</v>
      </c>
      <c r="C35" s="19" t="s">
        <v>30</v>
      </c>
      <c r="D35" s="19" t="s">
        <v>601</v>
      </c>
      <c r="E35" s="19" t="s">
        <v>32</v>
      </c>
      <c r="G35" s="19" t="s">
        <v>33</v>
      </c>
      <c r="H35" s="19" t="s">
        <v>47</v>
      </c>
      <c r="I35" s="19" t="s">
        <v>602</v>
      </c>
      <c r="J35" s="19" t="s">
        <v>603</v>
      </c>
      <c r="L35" s="19" t="s">
        <v>604</v>
      </c>
      <c r="M35" s="19" t="n">
        <v>2012</v>
      </c>
      <c r="N35" s="19" t="n">
        <v>0.31</v>
      </c>
      <c r="O35" s="19" t="n">
        <v>0.31</v>
      </c>
      <c r="P35" s="19" t="n">
        <v>127</v>
      </c>
      <c r="Q35" s="19" t="n">
        <v>127</v>
      </c>
      <c r="R35" s="19" t="s">
        <v>522</v>
      </c>
      <c r="S35" s="19" t="s">
        <v>527</v>
      </c>
      <c r="T35" s="19" t="s">
        <v>605</v>
      </c>
      <c r="W35" s="19" t="n">
        <v>775</v>
      </c>
      <c r="X35" s="19" t="s">
        <v>447</v>
      </c>
      <c r="AE35" s="19" t="n">
        <v>1</v>
      </c>
      <c r="AL35" s="85" t="n">
        <v>41950</v>
      </c>
      <c r="AM35" s="19" t="n">
        <v>0.9</v>
      </c>
      <c r="AP35" s="19" t="s">
        <v>336</v>
      </c>
      <c r="AT35" s="19" t="s">
        <v>313</v>
      </c>
      <c r="AV35" s="19" t="n">
        <v>0.31</v>
      </c>
      <c r="AW35" s="19" t="n">
        <v>0.31</v>
      </c>
      <c r="AY35" s="19" t="n">
        <v>2023</v>
      </c>
      <c r="AZ35" s="19" t="s">
        <v>457</v>
      </c>
      <c r="BA35" s="19" t="s">
        <v>501</v>
      </c>
      <c r="BB35" s="19" t="n">
        <v>0.6439</v>
      </c>
      <c r="BC35" s="85" t="n">
        <v>45605</v>
      </c>
      <c r="BD35" s="19" t="s">
        <v>450</v>
      </c>
    </row>
    <row r="36" customFormat="false" ht="12.8" hidden="false" customHeight="false" outlineLevel="0" collapsed="false">
      <c r="A36" s="19" t="s">
        <v>29</v>
      </c>
      <c r="B36" s="19" t="s">
        <v>4</v>
      </c>
      <c r="C36" s="19" t="s">
        <v>30</v>
      </c>
      <c r="D36" s="19" t="s">
        <v>601</v>
      </c>
      <c r="E36" s="19" t="s">
        <v>32</v>
      </c>
      <c r="G36" s="19" t="s">
        <v>33</v>
      </c>
      <c r="H36" s="19" t="s">
        <v>47</v>
      </c>
      <c r="I36" s="19" t="s">
        <v>606</v>
      </c>
      <c r="J36" s="19" t="s">
        <v>603</v>
      </c>
      <c r="L36" s="19" t="s">
        <v>604</v>
      </c>
      <c r="M36" s="19" t="n">
        <v>2012</v>
      </c>
      <c r="N36" s="19" t="n">
        <v>0.03</v>
      </c>
      <c r="O36" s="19" t="n">
        <v>0.03</v>
      </c>
      <c r="P36" s="19" t="n">
        <v>13</v>
      </c>
      <c r="Q36" s="19" t="n">
        <v>13</v>
      </c>
      <c r="R36" s="19" t="s">
        <v>522</v>
      </c>
      <c r="S36" s="19" t="s">
        <v>40</v>
      </c>
      <c r="T36" s="19" t="s">
        <v>41</v>
      </c>
      <c r="W36" s="19" t="n">
        <v>75</v>
      </c>
      <c r="X36" s="19" t="s">
        <v>447</v>
      </c>
      <c r="AE36" s="19" t="n">
        <v>1</v>
      </c>
      <c r="AL36" s="85" t="n">
        <v>41950</v>
      </c>
      <c r="AM36" s="19" t="n">
        <v>0.92</v>
      </c>
      <c r="AP36" s="19" t="s">
        <v>336</v>
      </c>
      <c r="AT36" s="19" t="s">
        <v>313</v>
      </c>
      <c r="AV36" s="19" t="n">
        <v>0.03</v>
      </c>
      <c r="AW36" s="19" t="n">
        <v>0.03</v>
      </c>
      <c r="AY36" s="19" t="n">
        <v>2023</v>
      </c>
      <c r="AZ36" s="19" t="s">
        <v>476</v>
      </c>
      <c r="BA36" s="19" t="s">
        <v>574</v>
      </c>
      <c r="BB36" s="19" t="n">
        <v>0.2308</v>
      </c>
      <c r="BC36" s="85" t="n">
        <v>45420</v>
      </c>
      <c r="BD36" s="19" t="s">
        <v>450</v>
      </c>
    </row>
    <row r="37" customFormat="false" ht="12.8" hidden="false" customHeight="false" outlineLevel="0" collapsed="false">
      <c r="A37" s="19" t="s">
        <v>29</v>
      </c>
      <c r="B37" s="19" t="s">
        <v>4</v>
      </c>
      <c r="C37" s="19" t="s">
        <v>30</v>
      </c>
      <c r="D37" s="19" t="s">
        <v>607</v>
      </c>
      <c r="E37" s="19" t="s">
        <v>32</v>
      </c>
      <c r="G37" s="19" t="s">
        <v>33</v>
      </c>
      <c r="H37" s="19" t="s">
        <v>47</v>
      </c>
      <c r="I37" s="19" t="s">
        <v>608</v>
      </c>
      <c r="J37" s="19" t="s">
        <v>603</v>
      </c>
      <c r="L37" s="19" t="s">
        <v>604</v>
      </c>
      <c r="M37" s="19" t="n">
        <v>2012</v>
      </c>
      <c r="N37" s="19" t="n">
        <v>0.08</v>
      </c>
      <c r="O37" s="19" t="n">
        <v>0.08</v>
      </c>
      <c r="P37" s="19" t="n">
        <v>33</v>
      </c>
      <c r="Q37" s="19" t="n">
        <v>33</v>
      </c>
      <c r="R37" s="19" t="s">
        <v>522</v>
      </c>
      <c r="S37" s="19" t="s">
        <v>40</v>
      </c>
      <c r="T37" s="19" t="s">
        <v>41</v>
      </c>
      <c r="W37" s="19" t="n">
        <v>200</v>
      </c>
      <c r="X37" s="19" t="s">
        <v>447</v>
      </c>
      <c r="AE37" s="19" t="n">
        <v>1</v>
      </c>
      <c r="AL37" s="85" t="n">
        <v>41950</v>
      </c>
      <c r="AM37" s="19" t="n">
        <v>0.91</v>
      </c>
      <c r="AP37" s="19" t="s">
        <v>336</v>
      </c>
      <c r="AT37" s="19" t="s">
        <v>313</v>
      </c>
      <c r="AV37" s="19" t="n">
        <v>0.08</v>
      </c>
      <c r="AW37" s="19" t="n">
        <v>0.08</v>
      </c>
      <c r="AY37" s="19" t="n">
        <v>2023</v>
      </c>
      <c r="AZ37" s="19" t="s">
        <v>476</v>
      </c>
      <c r="BA37" s="19" t="s">
        <v>501</v>
      </c>
      <c r="BB37" s="19" t="n">
        <v>0.1515</v>
      </c>
      <c r="BC37" s="85" t="n">
        <v>45420</v>
      </c>
      <c r="BD37" s="19" t="s">
        <v>450</v>
      </c>
    </row>
    <row r="38" customFormat="false" ht="12.8" hidden="false" customHeight="false" outlineLevel="0" collapsed="false">
      <c r="A38" s="19" t="s">
        <v>29</v>
      </c>
      <c r="B38" s="19" t="s">
        <v>4</v>
      </c>
      <c r="C38" s="19" t="s">
        <v>30</v>
      </c>
      <c r="D38" s="19" t="s">
        <v>607</v>
      </c>
      <c r="E38" s="19" t="s">
        <v>32</v>
      </c>
      <c r="G38" s="19" t="s">
        <v>33</v>
      </c>
      <c r="H38" s="19" t="s">
        <v>47</v>
      </c>
      <c r="I38" s="19" t="s">
        <v>609</v>
      </c>
      <c r="J38" s="19" t="s">
        <v>603</v>
      </c>
      <c r="L38" s="19" t="s">
        <v>604</v>
      </c>
      <c r="M38" s="19" t="n">
        <v>2012</v>
      </c>
      <c r="N38" s="19" t="n">
        <v>0.21</v>
      </c>
      <c r="O38" s="19" t="n">
        <v>0.21</v>
      </c>
      <c r="P38" s="19" t="n">
        <v>80</v>
      </c>
      <c r="Q38" s="19" t="n">
        <v>80</v>
      </c>
      <c r="R38" s="19" t="s">
        <v>522</v>
      </c>
      <c r="S38" s="19" t="s">
        <v>40</v>
      </c>
      <c r="T38" s="19" t="s">
        <v>41</v>
      </c>
      <c r="W38" s="19" t="n">
        <v>525</v>
      </c>
      <c r="X38" s="19" t="s">
        <v>447</v>
      </c>
      <c r="AE38" s="19" t="n">
        <v>1</v>
      </c>
      <c r="AL38" s="85" t="n">
        <v>41950</v>
      </c>
      <c r="AM38" s="19" t="n">
        <v>0.91</v>
      </c>
      <c r="AP38" s="19" t="s">
        <v>336</v>
      </c>
      <c r="AT38" s="19" t="s">
        <v>313</v>
      </c>
      <c r="AV38" s="19" t="n">
        <v>0.21</v>
      </c>
      <c r="AW38" s="19" t="n">
        <v>0.21</v>
      </c>
      <c r="AY38" s="19" t="n">
        <v>2023</v>
      </c>
      <c r="AZ38" s="19" t="s">
        <v>457</v>
      </c>
      <c r="BA38" s="19" t="s">
        <v>458</v>
      </c>
      <c r="BB38" s="19" t="n">
        <v>0.8286</v>
      </c>
      <c r="BC38" s="85" t="n">
        <v>45420</v>
      </c>
      <c r="BD38" s="19" t="s">
        <v>450</v>
      </c>
    </row>
    <row r="39" customFormat="false" ht="12.8" hidden="false" customHeight="false" outlineLevel="0" collapsed="false">
      <c r="A39" s="19" t="s">
        <v>29</v>
      </c>
      <c r="B39" s="19" t="s">
        <v>4</v>
      </c>
      <c r="C39" s="19" t="s">
        <v>30</v>
      </c>
      <c r="D39" s="19" t="s">
        <v>259</v>
      </c>
      <c r="E39" s="19" t="s">
        <v>73</v>
      </c>
      <c r="G39" s="19" t="s">
        <v>33</v>
      </c>
      <c r="H39" s="19" t="s">
        <v>47</v>
      </c>
      <c r="I39" s="19" t="s">
        <v>610</v>
      </c>
      <c r="J39" s="19" t="s">
        <v>611</v>
      </c>
      <c r="L39" s="19" t="s">
        <v>612</v>
      </c>
      <c r="M39" s="19" t="n">
        <v>2012</v>
      </c>
      <c r="N39" s="19" t="n">
        <v>0.79</v>
      </c>
      <c r="O39" s="19" t="n">
        <v>0.79</v>
      </c>
      <c r="P39" s="19" t="n">
        <v>318</v>
      </c>
      <c r="Q39" s="19" t="n">
        <v>318</v>
      </c>
      <c r="R39" s="19" t="s">
        <v>522</v>
      </c>
      <c r="S39" s="19" t="s">
        <v>40</v>
      </c>
      <c r="T39" s="19" t="s">
        <v>41</v>
      </c>
      <c r="W39" s="19" t="n">
        <v>1975</v>
      </c>
      <c r="X39" s="19" t="s">
        <v>447</v>
      </c>
      <c r="AE39" s="19" t="n">
        <v>1</v>
      </c>
      <c r="AL39" s="85" t="n">
        <v>41940</v>
      </c>
      <c r="AM39" s="19" t="n">
        <v>0.89</v>
      </c>
      <c r="AN39" s="19" t="s">
        <v>613</v>
      </c>
      <c r="AO39" s="19" t="s">
        <v>614</v>
      </c>
      <c r="AP39" s="19" t="s">
        <v>336</v>
      </c>
      <c r="AT39" s="19" t="s">
        <v>313</v>
      </c>
      <c r="AV39" s="19" t="n">
        <v>0.79</v>
      </c>
      <c r="AW39" s="19" t="n">
        <v>0.79</v>
      </c>
      <c r="AY39" s="19" t="n">
        <v>2023</v>
      </c>
      <c r="AZ39" s="19" t="s">
        <v>476</v>
      </c>
      <c r="BA39" s="19" t="s">
        <v>449</v>
      </c>
      <c r="BB39" s="19" t="n">
        <v>0.2215</v>
      </c>
      <c r="BC39" s="85" t="n">
        <v>45427</v>
      </c>
      <c r="BD39" s="19" t="s">
        <v>450</v>
      </c>
    </row>
    <row r="40" customFormat="false" ht="12.8" hidden="false" customHeight="false" outlineLevel="0" collapsed="false">
      <c r="A40" s="19" t="s">
        <v>29</v>
      </c>
      <c r="B40" s="19" t="s">
        <v>4</v>
      </c>
      <c r="C40" s="19" t="s">
        <v>30</v>
      </c>
      <c r="D40" s="19" t="s">
        <v>259</v>
      </c>
      <c r="E40" s="19" t="s">
        <v>73</v>
      </c>
      <c r="G40" s="19" t="s">
        <v>33</v>
      </c>
      <c r="H40" s="19" t="s">
        <v>47</v>
      </c>
      <c r="I40" s="19" t="s">
        <v>615</v>
      </c>
      <c r="J40" s="19" t="s">
        <v>603</v>
      </c>
      <c r="L40" s="19" t="s">
        <v>612</v>
      </c>
      <c r="M40" s="19" t="n">
        <v>2012</v>
      </c>
      <c r="N40" s="19" t="n">
        <v>0.06</v>
      </c>
      <c r="O40" s="19" t="n">
        <v>0.06</v>
      </c>
      <c r="P40" s="19" t="n">
        <v>24</v>
      </c>
      <c r="Q40" s="19" t="n">
        <v>24</v>
      </c>
      <c r="R40" s="19" t="s">
        <v>522</v>
      </c>
      <c r="S40" s="19" t="s">
        <v>40</v>
      </c>
      <c r="T40" s="19" t="s">
        <v>41</v>
      </c>
      <c r="W40" s="19" t="n">
        <v>150</v>
      </c>
      <c r="X40" s="19" t="s">
        <v>447</v>
      </c>
      <c r="AE40" s="19" t="n">
        <v>1</v>
      </c>
      <c r="AL40" s="85" t="n">
        <v>41940</v>
      </c>
      <c r="AM40" s="19" t="n">
        <v>0.92</v>
      </c>
      <c r="AP40" s="19" t="s">
        <v>336</v>
      </c>
      <c r="AT40" s="19" t="s">
        <v>313</v>
      </c>
      <c r="AV40" s="19" t="n">
        <v>0.06</v>
      </c>
      <c r="AW40" s="19" t="n">
        <v>0.06</v>
      </c>
      <c r="AY40" s="19" t="n">
        <v>2023</v>
      </c>
      <c r="AZ40" s="19" t="s">
        <v>476</v>
      </c>
      <c r="BA40" s="19" t="s">
        <v>574</v>
      </c>
      <c r="BB40" s="19" t="n">
        <v>0.2083</v>
      </c>
      <c r="BC40" s="85" t="n">
        <v>45420</v>
      </c>
      <c r="BD40" s="19" t="s">
        <v>450</v>
      </c>
    </row>
    <row r="41" customFormat="false" ht="12.8" hidden="false" customHeight="false" outlineLevel="0" collapsed="false">
      <c r="A41" s="19" t="s">
        <v>29</v>
      </c>
      <c r="B41" s="19" t="s">
        <v>4</v>
      </c>
      <c r="C41" s="19" t="s">
        <v>30</v>
      </c>
      <c r="D41" s="19" t="s">
        <v>72</v>
      </c>
      <c r="E41" s="19" t="s">
        <v>73</v>
      </c>
      <c r="G41" s="19" t="s">
        <v>33</v>
      </c>
      <c r="H41" s="19" t="s">
        <v>47</v>
      </c>
      <c r="I41" s="19" t="s">
        <v>616</v>
      </c>
      <c r="J41" s="19" t="s">
        <v>611</v>
      </c>
      <c r="L41" s="19" t="s">
        <v>617</v>
      </c>
      <c r="M41" s="19" t="n">
        <v>2012</v>
      </c>
      <c r="N41" s="19" t="n">
        <v>0.15</v>
      </c>
      <c r="O41" s="19" t="n">
        <v>0.15</v>
      </c>
      <c r="P41" s="19" t="n">
        <v>58</v>
      </c>
      <c r="Q41" s="19" t="n">
        <v>58</v>
      </c>
      <c r="R41" s="19" t="s">
        <v>522</v>
      </c>
      <c r="S41" s="19" t="s">
        <v>40</v>
      </c>
      <c r="T41" s="19" t="s">
        <v>41</v>
      </c>
      <c r="W41" s="19" t="n">
        <v>375</v>
      </c>
      <c r="X41" s="19" t="s">
        <v>447</v>
      </c>
      <c r="AE41" s="19" t="n">
        <v>1</v>
      </c>
      <c r="AL41" s="85" t="n">
        <v>41940</v>
      </c>
      <c r="AM41" s="19" t="n">
        <v>0.93</v>
      </c>
      <c r="AP41" s="19" t="s">
        <v>336</v>
      </c>
      <c r="AT41" s="19" t="s">
        <v>313</v>
      </c>
      <c r="AV41" s="19" t="n">
        <v>0.15</v>
      </c>
      <c r="AW41" s="19" t="n">
        <v>0.15</v>
      </c>
      <c r="AY41" s="19" t="n">
        <v>2023</v>
      </c>
      <c r="AZ41" s="19" t="s">
        <v>457</v>
      </c>
      <c r="BA41" s="19" t="s">
        <v>574</v>
      </c>
      <c r="BB41" s="19" t="n">
        <v>0.8267</v>
      </c>
      <c r="BC41" s="85" t="n">
        <v>45420</v>
      </c>
      <c r="BD41" s="19" t="s">
        <v>450</v>
      </c>
    </row>
    <row r="42" customFormat="false" ht="12.8" hidden="false" customHeight="false" outlineLevel="0" collapsed="false">
      <c r="A42" s="19" t="s">
        <v>29</v>
      </c>
      <c r="B42" s="19" t="s">
        <v>4</v>
      </c>
      <c r="C42" s="19" t="s">
        <v>30</v>
      </c>
      <c r="D42" s="19" t="s">
        <v>618</v>
      </c>
      <c r="E42" s="19" t="s">
        <v>619</v>
      </c>
      <c r="G42" s="19" t="s">
        <v>33</v>
      </c>
      <c r="H42" s="19" t="s">
        <v>47</v>
      </c>
      <c r="I42" s="19" t="s">
        <v>620</v>
      </c>
      <c r="J42" s="19" t="s">
        <v>603</v>
      </c>
      <c r="L42" s="19" t="s">
        <v>621</v>
      </c>
      <c r="M42" s="19" t="n">
        <v>2012</v>
      </c>
      <c r="N42" s="19" t="n">
        <v>0.31</v>
      </c>
      <c r="O42" s="19" t="n">
        <v>0.31</v>
      </c>
      <c r="P42" s="19" t="n">
        <v>124</v>
      </c>
      <c r="Q42" s="19" t="n">
        <v>124</v>
      </c>
      <c r="R42" s="19" t="s">
        <v>522</v>
      </c>
      <c r="S42" s="19" t="s">
        <v>40</v>
      </c>
      <c r="T42" s="19" t="s">
        <v>41</v>
      </c>
      <c r="W42" s="19" t="n">
        <v>775</v>
      </c>
      <c r="X42" s="19" t="s">
        <v>447</v>
      </c>
      <c r="AE42" s="19" t="n">
        <v>1</v>
      </c>
      <c r="AL42" s="85" t="n">
        <v>41948</v>
      </c>
      <c r="AM42" s="19" t="n">
        <v>0.95</v>
      </c>
      <c r="AP42" s="19" t="s">
        <v>336</v>
      </c>
      <c r="AT42" s="19" t="s">
        <v>313</v>
      </c>
      <c r="AV42" s="19" t="n">
        <v>0.31</v>
      </c>
      <c r="AW42" s="19" t="n">
        <v>0.31</v>
      </c>
      <c r="AY42" s="19" t="n">
        <v>2023</v>
      </c>
      <c r="AZ42" s="19" t="s">
        <v>476</v>
      </c>
      <c r="BA42" s="19" t="s">
        <v>449</v>
      </c>
      <c r="BB42" s="19" t="n">
        <v>0.1694</v>
      </c>
      <c r="BC42" s="85" t="n">
        <v>45566</v>
      </c>
      <c r="BD42" s="19" t="s">
        <v>450</v>
      </c>
    </row>
    <row r="43" customFormat="false" ht="12.8" hidden="false" customHeight="false" outlineLevel="0" collapsed="false">
      <c r="A43" s="19" t="s">
        <v>29</v>
      </c>
      <c r="B43" s="19" t="s">
        <v>4</v>
      </c>
      <c r="C43" s="19" t="s">
        <v>30</v>
      </c>
      <c r="D43" s="19" t="s">
        <v>622</v>
      </c>
      <c r="E43" s="19" t="s">
        <v>619</v>
      </c>
      <c r="G43" s="19" t="s">
        <v>33</v>
      </c>
      <c r="H43" s="19" t="s">
        <v>47</v>
      </c>
      <c r="I43" s="19" t="s">
        <v>623</v>
      </c>
      <c r="J43" s="19" t="s">
        <v>603</v>
      </c>
      <c r="L43" s="19" t="s">
        <v>621</v>
      </c>
      <c r="M43" s="19" t="n">
        <v>2012</v>
      </c>
      <c r="N43" s="19" t="n">
        <v>1.95</v>
      </c>
      <c r="O43" s="19" t="n">
        <v>1.95</v>
      </c>
      <c r="P43" s="19" t="n">
        <v>780</v>
      </c>
      <c r="Q43" s="19" t="n">
        <v>780</v>
      </c>
      <c r="R43" s="19" t="s">
        <v>522</v>
      </c>
      <c r="S43" s="19" t="s">
        <v>40</v>
      </c>
      <c r="T43" s="19" t="s">
        <v>588</v>
      </c>
      <c r="W43" s="19" t="n">
        <v>4875</v>
      </c>
      <c r="X43" s="19" t="s">
        <v>447</v>
      </c>
      <c r="AE43" s="19" t="n">
        <v>1</v>
      </c>
      <c r="AL43" s="85" t="n">
        <v>41948</v>
      </c>
      <c r="AM43" s="19" t="n">
        <v>0.97</v>
      </c>
      <c r="AP43" s="19" t="s">
        <v>336</v>
      </c>
      <c r="AT43" s="19" t="s">
        <v>313</v>
      </c>
      <c r="AV43" s="19" t="n">
        <v>1</v>
      </c>
      <c r="AW43" s="19" t="n">
        <v>1</v>
      </c>
      <c r="AY43" s="19" t="n">
        <v>2023</v>
      </c>
      <c r="AZ43" s="19" t="s">
        <v>476</v>
      </c>
      <c r="BA43" s="19" t="s">
        <v>501</v>
      </c>
      <c r="BB43" s="19" t="n">
        <v>0.572</v>
      </c>
      <c r="BC43" s="85" t="n">
        <v>45566</v>
      </c>
      <c r="BD43" s="19" t="s">
        <v>450</v>
      </c>
    </row>
    <row r="44" customFormat="false" ht="12.8" hidden="false" customHeight="false" outlineLevel="0" collapsed="false">
      <c r="A44" s="19" t="s">
        <v>29</v>
      </c>
      <c r="B44" s="19" t="s">
        <v>4</v>
      </c>
      <c r="C44" s="19" t="s">
        <v>43</v>
      </c>
      <c r="D44" s="19" t="s">
        <v>624</v>
      </c>
      <c r="E44" s="19" t="s">
        <v>45</v>
      </c>
      <c r="G44" s="19" t="s">
        <v>416</v>
      </c>
      <c r="H44" s="19" t="s">
        <v>47</v>
      </c>
      <c r="I44" s="19" t="s">
        <v>625</v>
      </c>
      <c r="J44" s="19" t="s">
        <v>626</v>
      </c>
      <c r="L44" s="19" t="s">
        <v>627</v>
      </c>
      <c r="M44" s="19" t="n">
        <v>2012</v>
      </c>
      <c r="N44" s="19" t="n">
        <v>2</v>
      </c>
      <c r="O44" s="19" t="n">
        <v>2</v>
      </c>
      <c r="P44" s="19" t="n">
        <v>800</v>
      </c>
      <c r="Q44" s="19" t="n">
        <v>800</v>
      </c>
      <c r="R44" s="19" t="s">
        <v>522</v>
      </c>
      <c r="S44" s="19" t="s">
        <v>40</v>
      </c>
      <c r="T44" s="19" t="s">
        <v>41</v>
      </c>
      <c r="W44" s="19" t="n">
        <v>5000</v>
      </c>
      <c r="X44" s="19" t="s">
        <v>447</v>
      </c>
      <c r="AE44" s="19" t="n">
        <v>1</v>
      </c>
      <c r="AL44" s="85" t="n">
        <v>41948</v>
      </c>
      <c r="AM44" s="19" t="n">
        <v>0.89</v>
      </c>
      <c r="AP44" s="19" t="s">
        <v>336</v>
      </c>
      <c r="AT44" s="19" t="s">
        <v>313</v>
      </c>
      <c r="AV44" s="19" t="n">
        <v>1</v>
      </c>
      <c r="AW44" s="19" t="n">
        <v>1</v>
      </c>
      <c r="AY44" s="19" t="n">
        <v>2023</v>
      </c>
      <c r="AZ44" s="19" t="s">
        <v>476</v>
      </c>
      <c r="BA44" s="19" t="s">
        <v>449</v>
      </c>
      <c r="BB44" s="19" t="n">
        <v>0.368</v>
      </c>
      <c r="BC44" s="85" t="n">
        <v>45425</v>
      </c>
      <c r="BD44" s="19" t="s">
        <v>450</v>
      </c>
    </row>
    <row r="45" customFormat="false" ht="12.8" hidden="false" customHeight="false" outlineLevel="0" collapsed="false">
      <c r="A45" s="19" t="s">
        <v>29</v>
      </c>
      <c r="B45" s="19" t="s">
        <v>4</v>
      </c>
      <c r="C45" s="19" t="s">
        <v>30</v>
      </c>
      <c r="D45" s="19" t="s">
        <v>628</v>
      </c>
      <c r="E45" s="19" t="s">
        <v>178</v>
      </c>
      <c r="G45" s="19" t="s">
        <v>629</v>
      </c>
      <c r="H45" s="19" t="s">
        <v>47</v>
      </c>
      <c r="I45" s="19" t="s">
        <v>630</v>
      </c>
      <c r="J45" s="19" t="s">
        <v>631</v>
      </c>
      <c r="L45" s="19" t="s">
        <v>632</v>
      </c>
      <c r="M45" s="19" t="n">
        <v>2012</v>
      </c>
      <c r="N45" s="19" t="n">
        <v>4.16</v>
      </c>
      <c r="O45" s="19" t="n">
        <v>4.16</v>
      </c>
      <c r="P45" s="19" t="n">
        <v>1664</v>
      </c>
      <c r="Q45" s="19" t="n">
        <v>1664</v>
      </c>
      <c r="R45" s="19" t="s">
        <v>522</v>
      </c>
      <c r="S45" s="19" t="s">
        <v>40</v>
      </c>
      <c r="T45" s="19" t="s">
        <v>41</v>
      </c>
      <c r="W45" s="19" t="n">
        <v>10400</v>
      </c>
      <c r="X45" s="19" t="s">
        <v>447</v>
      </c>
      <c r="AE45" s="19" t="n">
        <v>1</v>
      </c>
      <c r="AL45" s="85" t="n">
        <v>41940</v>
      </c>
      <c r="AM45" s="19" t="n">
        <v>0.96</v>
      </c>
      <c r="AP45" s="19" t="s">
        <v>336</v>
      </c>
      <c r="AT45" s="19" t="s">
        <v>313</v>
      </c>
      <c r="AV45" s="19" t="n">
        <v>1</v>
      </c>
      <c r="AW45" s="19" t="n">
        <v>1</v>
      </c>
      <c r="AY45" s="19" t="n">
        <v>2023</v>
      </c>
      <c r="AZ45" s="19" t="s">
        <v>476</v>
      </c>
      <c r="BA45" s="19" t="s">
        <v>449</v>
      </c>
      <c r="BB45" s="19" t="n">
        <v>0.326</v>
      </c>
      <c r="BC45" s="85" t="n">
        <v>45420</v>
      </c>
      <c r="BD45" s="19" t="s">
        <v>450</v>
      </c>
    </row>
    <row r="46" customFormat="false" ht="12.8" hidden="false" customHeight="false" outlineLevel="0" collapsed="false">
      <c r="A46" s="19" t="s">
        <v>29</v>
      </c>
      <c r="B46" s="19" t="s">
        <v>4</v>
      </c>
      <c r="C46" s="19" t="s">
        <v>30</v>
      </c>
      <c r="D46" s="19" t="s">
        <v>628</v>
      </c>
      <c r="E46" s="19" t="s">
        <v>178</v>
      </c>
      <c r="G46" s="19" t="s">
        <v>629</v>
      </c>
      <c r="H46" s="19" t="s">
        <v>47</v>
      </c>
      <c r="I46" s="19" t="s">
        <v>633</v>
      </c>
      <c r="J46" s="19" t="s">
        <v>603</v>
      </c>
      <c r="L46" s="19" t="s">
        <v>632</v>
      </c>
      <c r="M46" s="19" t="n">
        <v>2012</v>
      </c>
      <c r="N46" s="19" t="n">
        <v>0.84</v>
      </c>
      <c r="O46" s="19" t="n">
        <v>0.84</v>
      </c>
      <c r="P46" s="19" t="n">
        <v>336</v>
      </c>
      <c r="Q46" s="19" t="n">
        <v>336</v>
      </c>
      <c r="R46" s="19" t="s">
        <v>522</v>
      </c>
      <c r="S46" s="19" t="s">
        <v>40</v>
      </c>
      <c r="T46" s="19" t="s">
        <v>41</v>
      </c>
      <c r="W46" s="19" t="n">
        <v>2100</v>
      </c>
      <c r="X46" s="19" t="s">
        <v>447</v>
      </c>
      <c r="AE46" s="19" t="n">
        <v>1</v>
      </c>
      <c r="AL46" s="85" t="n">
        <v>41940</v>
      </c>
      <c r="AM46" s="19" t="n">
        <v>0.95</v>
      </c>
      <c r="AT46" s="19" t="s">
        <v>313</v>
      </c>
      <c r="AV46" s="19" t="n">
        <v>0.84</v>
      </c>
      <c r="AW46" s="19" t="n">
        <v>0.84</v>
      </c>
      <c r="AY46" s="19" t="n">
        <v>2023</v>
      </c>
      <c r="AZ46" s="19" t="s">
        <v>535</v>
      </c>
      <c r="BA46" s="19" t="s">
        <v>449</v>
      </c>
      <c r="BB46" s="19" t="n">
        <v>0.1607</v>
      </c>
      <c r="BC46" s="85" t="n">
        <v>45420</v>
      </c>
      <c r="BD46" s="19" t="s">
        <v>450</v>
      </c>
    </row>
    <row r="47" customFormat="false" ht="12.8" hidden="false" customHeight="false" outlineLevel="0" collapsed="false">
      <c r="A47" s="19" t="s">
        <v>29</v>
      </c>
      <c r="B47" s="19" t="s">
        <v>4</v>
      </c>
      <c r="C47" s="19" t="s">
        <v>30</v>
      </c>
      <c r="D47" s="19" t="s">
        <v>634</v>
      </c>
      <c r="E47" s="19" t="s">
        <v>32</v>
      </c>
      <c r="G47" s="19" t="s">
        <v>33</v>
      </c>
      <c r="H47" s="19" t="s">
        <v>47</v>
      </c>
      <c r="I47" s="19" t="s">
        <v>635</v>
      </c>
      <c r="J47" s="19" t="s">
        <v>603</v>
      </c>
      <c r="L47" s="19" t="s">
        <v>636</v>
      </c>
      <c r="M47" s="19" t="n">
        <v>2012</v>
      </c>
      <c r="N47" s="19" t="n">
        <v>0.17</v>
      </c>
      <c r="O47" s="19" t="n">
        <v>0.17</v>
      </c>
      <c r="P47" s="19" t="n">
        <v>67</v>
      </c>
      <c r="Q47" s="19" t="n">
        <v>67</v>
      </c>
      <c r="R47" s="19" t="s">
        <v>522</v>
      </c>
      <c r="S47" s="19" t="s">
        <v>40</v>
      </c>
      <c r="T47" s="19" t="s">
        <v>588</v>
      </c>
      <c r="W47" s="19" t="n">
        <v>425</v>
      </c>
      <c r="X47" s="19" t="s">
        <v>447</v>
      </c>
      <c r="AE47" s="19" t="n">
        <v>1</v>
      </c>
      <c r="AL47" s="85" t="n">
        <v>41950</v>
      </c>
      <c r="AM47" s="19" t="n">
        <v>0.9</v>
      </c>
      <c r="AT47" s="19" t="s">
        <v>313</v>
      </c>
      <c r="AV47" s="19" t="n">
        <v>0.17</v>
      </c>
      <c r="AW47" s="19" t="n">
        <v>0.17</v>
      </c>
      <c r="AY47" s="19" t="n">
        <v>2023</v>
      </c>
      <c r="AZ47" s="19" t="s">
        <v>476</v>
      </c>
      <c r="BA47" s="19" t="s">
        <v>501</v>
      </c>
      <c r="BB47" s="19" t="n">
        <v>0.6471</v>
      </c>
      <c r="BC47" s="85" t="n">
        <v>45420</v>
      </c>
      <c r="BD47" s="19" t="s">
        <v>450</v>
      </c>
    </row>
    <row r="48" customFormat="false" ht="12.8" hidden="false" customHeight="false" outlineLevel="0" collapsed="false">
      <c r="A48" s="19" t="s">
        <v>29</v>
      </c>
      <c r="B48" s="19" t="s">
        <v>4</v>
      </c>
      <c r="C48" s="19" t="s">
        <v>30</v>
      </c>
      <c r="D48" s="19" t="s">
        <v>634</v>
      </c>
      <c r="E48" s="19" t="s">
        <v>32</v>
      </c>
      <c r="G48" s="19" t="s">
        <v>33</v>
      </c>
      <c r="H48" s="19" t="s">
        <v>47</v>
      </c>
      <c r="I48" s="19" t="s">
        <v>637</v>
      </c>
      <c r="J48" s="19" t="s">
        <v>603</v>
      </c>
      <c r="L48" s="19" t="s">
        <v>636</v>
      </c>
      <c r="M48" s="19" t="n">
        <v>2012</v>
      </c>
      <c r="N48" s="19" t="n">
        <v>1.2</v>
      </c>
      <c r="O48" s="19" t="n">
        <v>1.2</v>
      </c>
      <c r="P48" s="19" t="n">
        <v>480</v>
      </c>
      <c r="Q48" s="19" t="n">
        <v>480</v>
      </c>
      <c r="R48" s="19" t="s">
        <v>522</v>
      </c>
      <c r="S48" s="19" t="s">
        <v>40</v>
      </c>
      <c r="T48" s="19" t="s">
        <v>41</v>
      </c>
      <c r="W48" s="19" t="n">
        <v>3000</v>
      </c>
      <c r="X48" s="19" t="s">
        <v>447</v>
      </c>
      <c r="AE48" s="19" t="n">
        <v>1</v>
      </c>
      <c r="AL48" s="85" t="n">
        <v>41950</v>
      </c>
      <c r="AM48" s="19" t="n">
        <v>0.93</v>
      </c>
      <c r="AT48" s="19" t="s">
        <v>313</v>
      </c>
      <c r="AV48" s="19" t="n">
        <v>1</v>
      </c>
      <c r="AW48" s="19" t="n">
        <v>1</v>
      </c>
      <c r="AY48" s="19" t="n">
        <v>2023</v>
      </c>
      <c r="AZ48" s="19" t="s">
        <v>476</v>
      </c>
      <c r="BA48" s="19" t="s">
        <v>449</v>
      </c>
      <c r="BB48" s="19" t="n">
        <v>0.264</v>
      </c>
      <c r="BC48" s="85" t="n">
        <v>45420</v>
      </c>
      <c r="BD48" s="19" t="s">
        <v>450</v>
      </c>
    </row>
    <row r="49" customFormat="false" ht="12.8" hidden="false" customHeight="false" outlineLevel="0" collapsed="false">
      <c r="A49" s="19" t="s">
        <v>29</v>
      </c>
      <c r="B49" s="19" t="s">
        <v>4</v>
      </c>
      <c r="C49" s="19" t="s">
        <v>30</v>
      </c>
      <c r="D49" s="19" t="s">
        <v>72</v>
      </c>
      <c r="E49" s="19" t="s">
        <v>73</v>
      </c>
      <c r="G49" s="19" t="s">
        <v>33</v>
      </c>
      <c r="H49" s="19" t="s">
        <v>47</v>
      </c>
      <c r="I49" s="19" t="s">
        <v>638</v>
      </c>
      <c r="J49" s="19" t="s">
        <v>611</v>
      </c>
      <c r="L49" s="19" t="s">
        <v>639</v>
      </c>
      <c r="M49" s="19" t="n">
        <v>2012</v>
      </c>
      <c r="N49" s="19" t="n">
        <v>1</v>
      </c>
      <c r="O49" s="19" t="n">
        <v>1</v>
      </c>
      <c r="P49" s="19" t="n">
        <v>400</v>
      </c>
      <c r="Q49" s="19" t="n">
        <v>400</v>
      </c>
      <c r="R49" s="19" t="s">
        <v>522</v>
      </c>
      <c r="S49" s="19" t="s">
        <v>40</v>
      </c>
      <c r="T49" s="19" t="s">
        <v>564</v>
      </c>
      <c r="W49" s="19" t="n">
        <v>2500</v>
      </c>
      <c r="X49" s="19" t="s">
        <v>447</v>
      </c>
      <c r="AE49" s="19" t="n">
        <v>1</v>
      </c>
      <c r="AL49" s="85" t="n">
        <v>41950</v>
      </c>
      <c r="AM49" s="19" t="n">
        <v>0.9</v>
      </c>
      <c r="AT49" s="19" t="s">
        <v>313</v>
      </c>
      <c r="AV49" s="19" t="n">
        <v>1</v>
      </c>
      <c r="AW49" s="19" t="n">
        <v>1</v>
      </c>
      <c r="AY49" s="19" t="n">
        <v>2023</v>
      </c>
      <c r="AZ49" s="19" t="s">
        <v>476</v>
      </c>
      <c r="BA49" s="19" t="s">
        <v>449</v>
      </c>
      <c r="BB49" s="19" t="n">
        <v>0.16</v>
      </c>
      <c r="BC49" s="85" t="n">
        <v>45060</v>
      </c>
      <c r="BD49" s="19" t="s">
        <v>450</v>
      </c>
    </row>
    <row r="50" customFormat="false" ht="12.8" hidden="false" customHeight="false" outlineLevel="0" collapsed="false">
      <c r="A50" s="19" t="s">
        <v>29</v>
      </c>
      <c r="B50" s="19" t="s">
        <v>4</v>
      </c>
      <c r="C50" s="19" t="s">
        <v>30</v>
      </c>
      <c r="D50" s="19" t="s">
        <v>640</v>
      </c>
      <c r="E50" s="19" t="s">
        <v>641</v>
      </c>
      <c r="G50" s="19" t="s">
        <v>33</v>
      </c>
      <c r="H50" s="19" t="s">
        <v>47</v>
      </c>
      <c r="I50" s="19" t="s">
        <v>642</v>
      </c>
      <c r="J50" s="19" t="s">
        <v>643</v>
      </c>
      <c r="L50" s="19" t="s">
        <v>644</v>
      </c>
      <c r="M50" s="19" t="n">
        <v>2012</v>
      </c>
      <c r="N50" s="19" t="n">
        <v>2.51</v>
      </c>
      <c r="O50" s="19" t="n">
        <v>2.51</v>
      </c>
      <c r="P50" s="19" t="n">
        <v>1003</v>
      </c>
      <c r="Q50" s="19" t="n">
        <v>1003</v>
      </c>
      <c r="R50" s="19" t="s">
        <v>522</v>
      </c>
      <c r="S50" s="19" t="s">
        <v>40</v>
      </c>
      <c r="T50" s="19" t="s">
        <v>564</v>
      </c>
      <c r="W50" s="19" t="n">
        <v>6274.99999999999</v>
      </c>
      <c r="X50" s="19" t="s">
        <v>447</v>
      </c>
      <c r="AE50" s="19" t="n">
        <v>1</v>
      </c>
      <c r="AL50" s="85" t="n">
        <v>41948</v>
      </c>
      <c r="AM50" s="19" t="n">
        <v>0.86</v>
      </c>
      <c r="AN50" s="19" t="s">
        <v>464</v>
      </c>
      <c r="AO50" s="19" t="s">
        <v>645</v>
      </c>
      <c r="AP50" s="19" t="s">
        <v>336</v>
      </c>
      <c r="AT50" s="19" t="s">
        <v>313</v>
      </c>
      <c r="AV50" s="19" t="n">
        <v>1</v>
      </c>
      <c r="AW50" s="19" t="n">
        <v>1</v>
      </c>
      <c r="AY50" s="19" t="n">
        <v>2023</v>
      </c>
      <c r="AZ50" s="19" t="s">
        <v>490</v>
      </c>
      <c r="BA50" s="19" t="s">
        <v>480</v>
      </c>
      <c r="BB50" s="19" t="n">
        <v>0.01</v>
      </c>
      <c r="BC50" s="85" t="n">
        <v>45605</v>
      </c>
      <c r="BD50" s="19" t="s">
        <v>450</v>
      </c>
    </row>
    <row r="51" customFormat="false" ht="12.8" hidden="false" customHeight="false" outlineLevel="0" collapsed="false">
      <c r="A51" s="19" t="s">
        <v>29</v>
      </c>
      <c r="B51" s="19" t="s">
        <v>4</v>
      </c>
      <c r="C51" s="19" t="s">
        <v>30</v>
      </c>
      <c r="D51" s="19" t="s">
        <v>646</v>
      </c>
      <c r="E51" s="19" t="s">
        <v>619</v>
      </c>
      <c r="G51" s="19" t="s">
        <v>33</v>
      </c>
      <c r="H51" s="19" t="s">
        <v>47</v>
      </c>
      <c r="I51" s="19" t="s">
        <v>647</v>
      </c>
      <c r="J51" s="19" t="s">
        <v>648</v>
      </c>
      <c r="L51" s="19" t="s">
        <v>649</v>
      </c>
      <c r="M51" s="19" t="n">
        <v>2012</v>
      </c>
      <c r="N51" s="19" t="n">
        <v>0.08</v>
      </c>
      <c r="O51" s="19" t="n">
        <v>0.08</v>
      </c>
      <c r="P51" s="19" t="n">
        <v>33</v>
      </c>
      <c r="Q51" s="19" t="n">
        <v>33</v>
      </c>
      <c r="R51" s="19" t="s">
        <v>522</v>
      </c>
      <c r="S51" s="19" t="s">
        <v>40</v>
      </c>
      <c r="T51" s="19" t="s">
        <v>41</v>
      </c>
      <c r="W51" s="19" t="n">
        <v>200</v>
      </c>
      <c r="X51" s="19" t="s">
        <v>447</v>
      </c>
      <c r="AE51" s="19" t="n">
        <v>1</v>
      </c>
      <c r="AL51" s="85" t="n">
        <v>41948</v>
      </c>
      <c r="AM51" s="19" t="n">
        <v>0.94</v>
      </c>
      <c r="AP51" s="19" t="s">
        <v>336</v>
      </c>
      <c r="AT51" s="19" t="s">
        <v>313</v>
      </c>
      <c r="AV51" s="19" t="n">
        <v>0.08</v>
      </c>
      <c r="AW51" s="19" t="n">
        <v>0.08</v>
      </c>
      <c r="AY51" s="19" t="n">
        <v>2023</v>
      </c>
      <c r="AZ51" s="19" t="s">
        <v>476</v>
      </c>
      <c r="BA51" s="19" t="s">
        <v>501</v>
      </c>
      <c r="BB51" s="19" t="n">
        <v>0.1875</v>
      </c>
      <c r="BC51" s="85" t="n">
        <v>45575</v>
      </c>
      <c r="BD51" s="19" t="s">
        <v>450</v>
      </c>
    </row>
    <row r="52" customFormat="false" ht="12.8" hidden="false" customHeight="false" outlineLevel="0" collapsed="false">
      <c r="A52" s="19" t="s">
        <v>29</v>
      </c>
      <c r="B52" s="19" t="s">
        <v>4</v>
      </c>
      <c r="C52" s="19" t="s">
        <v>43</v>
      </c>
      <c r="D52" s="19" t="s">
        <v>650</v>
      </c>
      <c r="E52" s="19" t="s">
        <v>4</v>
      </c>
      <c r="G52" s="19" t="s">
        <v>80</v>
      </c>
      <c r="H52" s="19" t="s">
        <v>47</v>
      </c>
      <c r="I52" s="19" t="s">
        <v>651</v>
      </c>
      <c r="J52" s="19" t="s">
        <v>643</v>
      </c>
      <c r="L52" s="19" t="s">
        <v>652</v>
      </c>
      <c r="M52" s="19" t="n">
        <v>2012</v>
      </c>
      <c r="N52" s="19" t="n">
        <v>0.08</v>
      </c>
      <c r="O52" s="19" t="n">
        <v>0.08</v>
      </c>
      <c r="P52" s="19" t="n">
        <v>32</v>
      </c>
      <c r="Q52" s="19" t="n">
        <v>32</v>
      </c>
      <c r="R52" s="19" t="s">
        <v>522</v>
      </c>
      <c r="S52" s="19" t="s">
        <v>40</v>
      </c>
      <c r="T52" s="19" t="s">
        <v>588</v>
      </c>
      <c r="W52" s="19" t="n">
        <v>200</v>
      </c>
      <c r="X52" s="19" t="s">
        <v>447</v>
      </c>
      <c r="AE52" s="19" t="n">
        <v>1</v>
      </c>
      <c r="AL52" s="85" t="n">
        <v>41947</v>
      </c>
      <c r="AM52" s="19" t="n">
        <v>0.97</v>
      </c>
      <c r="AT52" s="19" t="s">
        <v>313</v>
      </c>
      <c r="AV52" s="19" t="n">
        <v>0.08</v>
      </c>
      <c r="AW52" s="19" t="n">
        <v>0.08</v>
      </c>
      <c r="AY52" s="19" t="n">
        <v>2023</v>
      </c>
      <c r="AZ52" s="19" t="s">
        <v>535</v>
      </c>
      <c r="BA52" s="19" t="s">
        <v>574</v>
      </c>
      <c r="BB52" s="19" t="n">
        <v>0.1875</v>
      </c>
      <c r="BC52" s="85" t="n">
        <v>45605</v>
      </c>
      <c r="BD52" s="19" t="s">
        <v>450</v>
      </c>
    </row>
    <row r="53" customFormat="false" ht="12.8" hidden="false" customHeight="false" outlineLevel="0" collapsed="false">
      <c r="A53" s="19" t="s">
        <v>29</v>
      </c>
      <c r="B53" s="19" t="s">
        <v>4</v>
      </c>
      <c r="C53" s="19" t="s">
        <v>43</v>
      </c>
      <c r="D53" s="19" t="s">
        <v>650</v>
      </c>
      <c r="E53" s="19" t="s">
        <v>4</v>
      </c>
      <c r="G53" s="19" t="s">
        <v>80</v>
      </c>
      <c r="H53" s="19" t="s">
        <v>47</v>
      </c>
      <c r="I53" s="19" t="s">
        <v>653</v>
      </c>
      <c r="J53" s="19" t="s">
        <v>654</v>
      </c>
      <c r="L53" s="19" t="s">
        <v>655</v>
      </c>
      <c r="M53" s="19" t="n">
        <v>2012</v>
      </c>
      <c r="N53" s="19" t="n">
        <v>0.1</v>
      </c>
      <c r="O53" s="19" t="n">
        <v>0.1</v>
      </c>
      <c r="P53" s="19" t="n">
        <v>42</v>
      </c>
      <c r="Q53" s="19" t="n">
        <v>42</v>
      </c>
      <c r="R53" s="19" t="s">
        <v>522</v>
      </c>
      <c r="S53" s="19" t="s">
        <v>40</v>
      </c>
      <c r="T53" s="19" t="s">
        <v>41</v>
      </c>
      <c r="W53" s="19" t="n">
        <v>250</v>
      </c>
      <c r="X53" s="19" t="s">
        <v>447</v>
      </c>
      <c r="AE53" s="19" t="n">
        <v>1</v>
      </c>
      <c r="AL53" s="85" t="n">
        <v>41947</v>
      </c>
      <c r="AM53" s="19" t="n">
        <v>0.83</v>
      </c>
      <c r="AT53" s="19" t="s">
        <v>313</v>
      </c>
      <c r="AV53" s="19" t="n">
        <v>0.1</v>
      </c>
      <c r="AW53" s="19" t="n">
        <v>0.1</v>
      </c>
      <c r="AY53" s="19" t="n">
        <v>2023</v>
      </c>
      <c r="AZ53" s="19" t="s">
        <v>490</v>
      </c>
      <c r="BA53" s="19" t="s">
        <v>449</v>
      </c>
      <c r="BB53" s="19" t="n">
        <v>0.2</v>
      </c>
      <c r="BC53" s="85" t="n">
        <v>45605</v>
      </c>
      <c r="BD53" s="19" t="s">
        <v>450</v>
      </c>
    </row>
    <row r="54" customFormat="false" ht="12.8" hidden="false" customHeight="false" outlineLevel="0" collapsed="false">
      <c r="A54" s="19" t="s">
        <v>29</v>
      </c>
      <c r="B54" s="19" t="s">
        <v>4</v>
      </c>
      <c r="C54" s="19" t="s">
        <v>43</v>
      </c>
      <c r="D54" s="19" t="s">
        <v>650</v>
      </c>
      <c r="E54" s="19" t="s">
        <v>4</v>
      </c>
      <c r="G54" s="19" t="s">
        <v>80</v>
      </c>
      <c r="H54" s="19" t="s">
        <v>47</v>
      </c>
      <c r="I54" s="19" t="s">
        <v>656</v>
      </c>
      <c r="J54" s="19" t="s">
        <v>657</v>
      </c>
      <c r="L54" s="19" t="s">
        <v>658</v>
      </c>
      <c r="M54" s="19" t="n">
        <v>2012</v>
      </c>
      <c r="N54" s="19" t="n">
        <v>0.1</v>
      </c>
      <c r="O54" s="19" t="n">
        <v>0.1</v>
      </c>
      <c r="P54" s="19" t="n">
        <v>39</v>
      </c>
      <c r="Q54" s="19" t="n">
        <v>39</v>
      </c>
      <c r="R54" s="19" t="s">
        <v>522</v>
      </c>
      <c r="S54" s="19" t="s">
        <v>40</v>
      </c>
      <c r="T54" s="19" t="s">
        <v>588</v>
      </c>
      <c r="W54" s="19" t="n">
        <v>250</v>
      </c>
      <c r="X54" s="19" t="s">
        <v>447</v>
      </c>
      <c r="AE54" s="19" t="n">
        <v>1</v>
      </c>
      <c r="AL54" s="85" t="n">
        <v>41947</v>
      </c>
      <c r="AM54" s="19" t="n">
        <v>0.95</v>
      </c>
      <c r="AT54" s="19" t="s">
        <v>313</v>
      </c>
      <c r="AV54" s="19" t="n">
        <v>0.1</v>
      </c>
      <c r="AW54" s="19" t="n">
        <v>0.1</v>
      </c>
      <c r="AY54" s="19" t="n">
        <v>2023</v>
      </c>
      <c r="AZ54" s="19" t="s">
        <v>535</v>
      </c>
      <c r="BA54" s="19" t="s">
        <v>574</v>
      </c>
      <c r="BB54" s="19" t="n">
        <v>0.15</v>
      </c>
      <c r="BC54" s="85" t="n">
        <v>45605</v>
      </c>
      <c r="BD54" s="19" t="s">
        <v>450</v>
      </c>
    </row>
    <row r="55" customFormat="false" ht="12.8" hidden="false" customHeight="false" outlineLevel="0" collapsed="false">
      <c r="A55" s="19" t="s">
        <v>29</v>
      </c>
      <c r="B55" s="19" t="s">
        <v>4</v>
      </c>
      <c r="C55" s="19" t="s">
        <v>43</v>
      </c>
      <c r="D55" s="19" t="s">
        <v>659</v>
      </c>
      <c r="E55" s="19" t="s">
        <v>660</v>
      </c>
      <c r="G55" s="19" t="s">
        <v>661</v>
      </c>
      <c r="H55" s="19" t="s">
        <v>47</v>
      </c>
      <c r="I55" s="19" t="s">
        <v>662</v>
      </c>
      <c r="J55" s="19" t="s">
        <v>663</v>
      </c>
      <c r="L55" s="19" t="s">
        <v>664</v>
      </c>
      <c r="M55" s="19" t="n">
        <v>2012</v>
      </c>
      <c r="N55" s="19" t="n">
        <v>1.36</v>
      </c>
      <c r="O55" s="19" t="n">
        <v>1.36</v>
      </c>
      <c r="P55" s="19" t="n">
        <v>544</v>
      </c>
      <c r="Q55" s="19" t="n">
        <v>544</v>
      </c>
      <c r="R55" s="19" t="s">
        <v>522</v>
      </c>
      <c r="S55" s="19" t="s">
        <v>527</v>
      </c>
      <c r="T55" s="19" t="s">
        <v>665</v>
      </c>
      <c r="W55" s="19" t="n">
        <v>3400</v>
      </c>
      <c r="X55" s="19" t="s">
        <v>447</v>
      </c>
      <c r="AE55" s="19" t="n">
        <v>1</v>
      </c>
      <c r="AL55" s="85" t="n">
        <v>41947</v>
      </c>
      <c r="AM55" s="19" t="n">
        <v>0.92</v>
      </c>
      <c r="AP55" s="19" t="s">
        <v>336</v>
      </c>
      <c r="AT55" s="19" t="s">
        <v>313</v>
      </c>
      <c r="AV55" s="19" t="n">
        <v>1</v>
      </c>
      <c r="AW55" s="19" t="n">
        <v>1</v>
      </c>
      <c r="AY55" s="19" t="n">
        <v>2023</v>
      </c>
      <c r="AZ55" s="19" t="s">
        <v>490</v>
      </c>
      <c r="BA55" s="19" t="s">
        <v>480</v>
      </c>
      <c r="BB55" s="19" t="n">
        <v>0.01</v>
      </c>
      <c r="BC55" s="85" t="n">
        <v>45421</v>
      </c>
      <c r="BD55" s="19" t="s">
        <v>450</v>
      </c>
    </row>
    <row r="56" customFormat="false" ht="12.8" hidden="false" customHeight="false" outlineLevel="0" collapsed="false">
      <c r="A56" s="19" t="s">
        <v>29</v>
      </c>
      <c r="B56" s="19" t="s">
        <v>4</v>
      </c>
      <c r="C56" s="19" t="s">
        <v>43</v>
      </c>
      <c r="D56" s="19" t="s">
        <v>659</v>
      </c>
      <c r="E56" s="19" t="s">
        <v>660</v>
      </c>
      <c r="G56" s="19" t="s">
        <v>80</v>
      </c>
      <c r="H56" s="19" t="s">
        <v>47</v>
      </c>
      <c r="I56" s="19" t="s">
        <v>666</v>
      </c>
      <c r="J56" s="19" t="s">
        <v>667</v>
      </c>
      <c r="L56" s="19" t="s">
        <v>668</v>
      </c>
      <c r="M56" s="19" t="n">
        <v>2012</v>
      </c>
      <c r="N56" s="19" t="n">
        <v>0.24</v>
      </c>
      <c r="O56" s="19" t="n">
        <v>0.24</v>
      </c>
      <c r="P56" s="19" t="n">
        <v>96</v>
      </c>
      <c r="Q56" s="19" t="n">
        <v>96</v>
      </c>
      <c r="R56" s="19" t="s">
        <v>522</v>
      </c>
      <c r="S56" s="19" t="s">
        <v>40</v>
      </c>
      <c r="T56" s="19" t="s">
        <v>588</v>
      </c>
      <c r="W56" s="19" t="n">
        <v>600</v>
      </c>
      <c r="X56" s="19" t="s">
        <v>447</v>
      </c>
      <c r="AE56" s="19" t="n">
        <v>1</v>
      </c>
      <c r="AL56" s="85" t="n">
        <v>41947</v>
      </c>
      <c r="AM56" s="19" t="n">
        <v>0.89</v>
      </c>
      <c r="AT56" s="19" t="s">
        <v>313</v>
      </c>
      <c r="AV56" s="19" t="n">
        <v>0.24</v>
      </c>
      <c r="AW56" s="19" t="n">
        <v>0.24</v>
      </c>
      <c r="AY56" s="19" t="n">
        <v>2023</v>
      </c>
      <c r="AZ56" s="19" t="s">
        <v>476</v>
      </c>
      <c r="BA56" s="19" t="s">
        <v>449</v>
      </c>
      <c r="BB56" s="19" t="n">
        <v>0.2292</v>
      </c>
      <c r="BC56" s="85" t="n">
        <v>45421</v>
      </c>
      <c r="BD56" s="19" t="s">
        <v>450</v>
      </c>
    </row>
    <row r="57" customFormat="false" ht="12.8" hidden="false" customHeight="false" outlineLevel="0" collapsed="false">
      <c r="A57" s="19" t="s">
        <v>29</v>
      </c>
      <c r="B57" s="19" t="s">
        <v>4</v>
      </c>
      <c r="C57" s="19" t="s">
        <v>43</v>
      </c>
      <c r="D57" s="19" t="s">
        <v>659</v>
      </c>
      <c r="E57" s="19" t="s">
        <v>660</v>
      </c>
      <c r="G57" s="19" t="s">
        <v>80</v>
      </c>
      <c r="H57" s="19" t="s">
        <v>47</v>
      </c>
      <c r="I57" s="19" t="s">
        <v>669</v>
      </c>
      <c r="J57" s="19" t="s">
        <v>667</v>
      </c>
      <c r="L57" s="19" t="s">
        <v>668</v>
      </c>
      <c r="M57" s="19" t="n">
        <v>2012</v>
      </c>
      <c r="N57" s="19" t="n">
        <v>0.2</v>
      </c>
      <c r="O57" s="19" t="n">
        <v>0.2</v>
      </c>
      <c r="P57" s="19" t="n">
        <v>80</v>
      </c>
      <c r="Q57" s="19" t="n">
        <v>80</v>
      </c>
      <c r="R57" s="19" t="s">
        <v>522</v>
      </c>
      <c r="S57" s="19" t="s">
        <v>40</v>
      </c>
      <c r="T57" s="19" t="s">
        <v>588</v>
      </c>
      <c r="W57" s="19" t="n">
        <v>500</v>
      </c>
      <c r="X57" s="19" t="s">
        <v>447</v>
      </c>
      <c r="AE57" s="19" t="n">
        <v>1</v>
      </c>
      <c r="AL57" s="85" t="n">
        <v>41947</v>
      </c>
      <c r="AM57" s="19" t="n">
        <v>0.88</v>
      </c>
      <c r="AT57" s="19" t="s">
        <v>313</v>
      </c>
      <c r="AV57" s="19" t="n">
        <v>0.2</v>
      </c>
      <c r="AW57" s="19" t="n">
        <v>0.2</v>
      </c>
      <c r="AY57" s="19" t="n">
        <v>2023</v>
      </c>
      <c r="AZ57" s="19" t="s">
        <v>476</v>
      </c>
      <c r="BA57" s="19" t="s">
        <v>480</v>
      </c>
      <c r="BB57" s="19" t="n">
        <v>0.15</v>
      </c>
      <c r="BC57" s="85" t="n">
        <v>45421</v>
      </c>
      <c r="BD57" s="19" t="s">
        <v>450</v>
      </c>
    </row>
    <row r="58" customFormat="false" ht="12.8" hidden="false" customHeight="false" outlineLevel="0" collapsed="false">
      <c r="A58" s="19" t="s">
        <v>29</v>
      </c>
      <c r="B58" s="19" t="s">
        <v>4</v>
      </c>
      <c r="C58" s="19" t="s">
        <v>43</v>
      </c>
      <c r="D58" s="19" t="s">
        <v>659</v>
      </c>
      <c r="E58" s="19" t="s">
        <v>660</v>
      </c>
      <c r="G58" s="19" t="s">
        <v>80</v>
      </c>
      <c r="H58" s="19" t="s">
        <v>47</v>
      </c>
      <c r="I58" s="19" t="s">
        <v>670</v>
      </c>
      <c r="J58" s="19" t="s">
        <v>667</v>
      </c>
      <c r="L58" s="19" t="s">
        <v>668</v>
      </c>
      <c r="M58" s="19" t="n">
        <v>2012</v>
      </c>
      <c r="N58" s="19" t="n">
        <v>0.2</v>
      </c>
      <c r="O58" s="19" t="n">
        <v>0.2</v>
      </c>
      <c r="P58" s="19" t="n">
        <v>80</v>
      </c>
      <c r="Q58" s="19" t="n">
        <v>80</v>
      </c>
      <c r="R58" s="19" t="s">
        <v>522</v>
      </c>
      <c r="S58" s="19" t="s">
        <v>40</v>
      </c>
      <c r="T58" s="19" t="s">
        <v>588</v>
      </c>
      <c r="W58" s="19" t="n">
        <v>500</v>
      </c>
      <c r="X58" s="19" t="s">
        <v>447</v>
      </c>
      <c r="AE58" s="19" t="n">
        <v>1</v>
      </c>
      <c r="AL58" s="85" t="n">
        <v>41947</v>
      </c>
      <c r="AM58" s="19" t="n">
        <v>0.94</v>
      </c>
      <c r="AT58" s="19" t="s">
        <v>313</v>
      </c>
      <c r="AV58" s="19" t="n">
        <v>0.2</v>
      </c>
      <c r="AW58" s="19" t="n">
        <v>0.2</v>
      </c>
      <c r="AY58" s="19" t="n">
        <v>2023</v>
      </c>
      <c r="AZ58" s="19" t="s">
        <v>535</v>
      </c>
      <c r="BA58" s="19" t="s">
        <v>449</v>
      </c>
      <c r="BB58" s="19" t="n">
        <v>0.1625</v>
      </c>
      <c r="BC58" s="85" t="n">
        <v>45421</v>
      </c>
      <c r="BD58" s="19" t="s">
        <v>450</v>
      </c>
    </row>
    <row r="59" customFormat="false" ht="12.8" hidden="false" customHeight="false" outlineLevel="0" collapsed="false">
      <c r="A59" s="19" t="s">
        <v>29</v>
      </c>
      <c r="B59" s="19" t="s">
        <v>4</v>
      </c>
      <c r="C59" s="19" t="s">
        <v>30</v>
      </c>
      <c r="D59" s="19" t="s">
        <v>671</v>
      </c>
      <c r="E59" s="19" t="s">
        <v>79</v>
      </c>
      <c r="G59" s="19" t="s">
        <v>80</v>
      </c>
      <c r="H59" s="19" t="s">
        <v>47</v>
      </c>
      <c r="I59" s="19" t="s">
        <v>672</v>
      </c>
      <c r="J59" s="19" t="s">
        <v>483</v>
      </c>
      <c r="K59" s="19" t="s">
        <v>484</v>
      </c>
      <c r="L59" s="19" t="s">
        <v>673</v>
      </c>
      <c r="M59" s="19" t="n">
        <v>2012</v>
      </c>
      <c r="N59" s="19" t="n">
        <v>50</v>
      </c>
      <c r="O59" s="19" t="n">
        <v>50</v>
      </c>
      <c r="P59" s="19" t="n">
        <v>25000</v>
      </c>
      <c r="Q59" s="19" t="n">
        <v>25000</v>
      </c>
      <c r="R59" s="19" t="s">
        <v>39</v>
      </c>
      <c r="S59" s="19" t="s">
        <v>53</v>
      </c>
      <c r="T59" s="19" t="s">
        <v>674</v>
      </c>
      <c r="U59" s="19" t="n">
        <v>1161000</v>
      </c>
      <c r="W59" s="19" t="n">
        <v>125000</v>
      </c>
      <c r="X59" s="19" t="s">
        <v>447</v>
      </c>
      <c r="Y59" s="19" t="n">
        <v>616000</v>
      </c>
      <c r="Z59" s="19" t="n">
        <v>327000</v>
      </c>
      <c r="AA59" s="19" t="n">
        <v>218000</v>
      </c>
      <c r="AC59" s="85" t="n">
        <v>41092</v>
      </c>
      <c r="AD59" s="85" t="n">
        <v>42004</v>
      </c>
      <c r="AE59" s="19" t="n">
        <v>1</v>
      </c>
      <c r="AK59" s="85" t="n">
        <v>40941</v>
      </c>
      <c r="AL59" s="85" t="n">
        <v>41922</v>
      </c>
      <c r="AM59" s="19" t="n">
        <v>0.9</v>
      </c>
      <c r="AN59" s="19" t="s">
        <v>675</v>
      </c>
      <c r="AO59" s="19" t="s">
        <v>676</v>
      </c>
      <c r="AQ59" s="85" t="n">
        <v>44910</v>
      </c>
      <c r="AR59" s="19" t="s">
        <v>325</v>
      </c>
      <c r="AS59" s="19" t="s">
        <v>489</v>
      </c>
      <c r="AT59" s="19" t="s">
        <v>313</v>
      </c>
      <c r="AV59" s="19" t="n">
        <v>6</v>
      </c>
      <c r="AW59" s="19" t="n">
        <v>6</v>
      </c>
      <c r="AY59" s="19" t="n">
        <v>2023</v>
      </c>
      <c r="AZ59" s="19" t="s">
        <v>490</v>
      </c>
      <c r="BA59" s="19" t="s">
        <v>480</v>
      </c>
      <c r="BB59" s="19" t="n">
        <v>0.0357</v>
      </c>
      <c r="BC59" s="85" t="n">
        <v>45512</v>
      </c>
      <c r="BD59" s="19" t="s">
        <v>450</v>
      </c>
    </row>
    <row r="60" customFormat="false" ht="12.8" hidden="false" customHeight="false" outlineLevel="0" collapsed="false">
      <c r="A60" s="19" t="s">
        <v>29</v>
      </c>
      <c r="B60" s="19" t="s">
        <v>4</v>
      </c>
      <c r="C60" s="19" t="s">
        <v>30</v>
      </c>
      <c r="D60" s="19" t="s">
        <v>671</v>
      </c>
      <c r="E60" s="19" t="s">
        <v>79</v>
      </c>
      <c r="G60" s="19" t="s">
        <v>80</v>
      </c>
      <c r="H60" s="19" t="s">
        <v>47</v>
      </c>
      <c r="I60" s="19" t="s">
        <v>677</v>
      </c>
      <c r="J60" s="19" t="s">
        <v>483</v>
      </c>
      <c r="K60" s="19" t="s">
        <v>484</v>
      </c>
      <c r="L60" s="19" t="s">
        <v>673</v>
      </c>
      <c r="M60" s="19" t="n">
        <v>2012</v>
      </c>
      <c r="N60" s="19" t="n">
        <v>59.06</v>
      </c>
      <c r="O60" s="19" t="n">
        <v>59.06</v>
      </c>
      <c r="P60" s="19" t="n">
        <v>29528</v>
      </c>
      <c r="Q60" s="19" t="n">
        <v>29528</v>
      </c>
      <c r="R60" s="19" t="s">
        <v>52</v>
      </c>
      <c r="S60" s="19" t="s">
        <v>678</v>
      </c>
      <c r="T60" s="19" t="s">
        <v>679</v>
      </c>
      <c r="W60" s="19" t="n">
        <v>147650</v>
      </c>
      <c r="X60" s="19" t="s">
        <v>447</v>
      </c>
      <c r="AC60" s="85" t="n">
        <v>41949</v>
      </c>
      <c r="AD60" s="85" t="n">
        <v>42004</v>
      </c>
      <c r="AE60" s="19" t="n">
        <v>1</v>
      </c>
      <c r="AL60" s="85" t="n">
        <v>41921</v>
      </c>
      <c r="AM60" s="19" t="n">
        <v>0.92</v>
      </c>
      <c r="AN60" s="19" t="s">
        <v>680</v>
      </c>
      <c r="AO60" s="19" t="s">
        <v>681</v>
      </c>
      <c r="AT60" s="19" t="s">
        <v>313</v>
      </c>
      <c r="AV60" s="19" t="n">
        <v>7</v>
      </c>
      <c r="AW60" s="19" t="n">
        <v>7</v>
      </c>
      <c r="AY60" s="19" t="n">
        <v>2023</v>
      </c>
      <c r="AZ60" s="19" t="s">
        <v>448</v>
      </c>
      <c r="BA60" s="19" t="s">
        <v>449</v>
      </c>
      <c r="BB60" s="19" t="n">
        <v>0.5926</v>
      </c>
      <c r="BC60" s="85" t="n">
        <v>45511</v>
      </c>
      <c r="BD60" s="19" t="s">
        <v>450</v>
      </c>
    </row>
    <row r="61" customFormat="false" ht="12.8" hidden="false" customHeight="false" outlineLevel="0" collapsed="false">
      <c r="A61" s="19" t="s">
        <v>29</v>
      </c>
      <c r="B61" s="19" t="s">
        <v>4</v>
      </c>
      <c r="C61" s="19" t="s">
        <v>30</v>
      </c>
      <c r="D61" s="19" t="s">
        <v>238</v>
      </c>
      <c r="E61" s="19" t="s">
        <v>67</v>
      </c>
      <c r="G61" s="19" t="s">
        <v>33</v>
      </c>
      <c r="H61" s="19" t="s">
        <v>47</v>
      </c>
      <c r="I61" s="19" t="s">
        <v>682</v>
      </c>
      <c r="J61" s="19" t="s">
        <v>683</v>
      </c>
      <c r="K61" s="19" t="s">
        <v>684</v>
      </c>
      <c r="L61" s="19" t="s">
        <v>685</v>
      </c>
      <c r="M61" s="19" t="n">
        <v>2012</v>
      </c>
      <c r="N61" s="19" t="n">
        <v>23</v>
      </c>
      <c r="O61" s="19" t="n">
        <v>23</v>
      </c>
      <c r="P61" s="19" t="n">
        <v>11255</v>
      </c>
      <c r="Q61" s="19" t="n">
        <v>11255</v>
      </c>
      <c r="R61" s="19" t="s">
        <v>52</v>
      </c>
      <c r="S61" s="19" t="s">
        <v>40</v>
      </c>
      <c r="T61" s="19" t="s">
        <v>686</v>
      </c>
      <c r="U61" s="19" t="n">
        <v>830100</v>
      </c>
      <c r="W61" s="19" t="n">
        <v>57500</v>
      </c>
      <c r="X61" s="19" t="s">
        <v>447</v>
      </c>
      <c r="Y61" s="19" t="n">
        <v>455100</v>
      </c>
      <c r="Z61" s="19" t="n">
        <v>225000</v>
      </c>
      <c r="AA61" s="19" t="n">
        <v>150000</v>
      </c>
      <c r="AC61" s="85" t="n">
        <v>41808</v>
      </c>
      <c r="AD61" s="85" t="n">
        <v>42004</v>
      </c>
      <c r="AE61" s="19" t="n">
        <v>1</v>
      </c>
      <c r="AK61" s="85" t="n">
        <v>41801</v>
      </c>
      <c r="AL61" s="85" t="n">
        <v>41902</v>
      </c>
      <c r="AM61" s="19" t="n">
        <v>0.87</v>
      </c>
      <c r="AR61" s="19" t="s">
        <v>311</v>
      </c>
      <c r="AS61" s="19" t="s">
        <v>312</v>
      </c>
      <c r="AT61" s="19" t="s">
        <v>313</v>
      </c>
      <c r="AV61" s="19" t="n">
        <v>3</v>
      </c>
      <c r="AW61" s="19" t="n">
        <v>3</v>
      </c>
      <c r="AY61" s="19" t="n">
        <v>2023</v>
      </c>
      <c r="AZ61" s="19" t="s">
        <v>535</v>
      </c>
      <c r="BA61" s="19" t="s">
        <v>449</v>
      </c>
      <c r="BB61" s="19" t="n">
        <v>0.126</v>
      </c>
      <c r="BC61" s="85" t="n">
        <v>45540</v>
      </c>
      <c r="BD61" s="19" t="s">
        <v>450</v>
      </c>
    </row>
    <row r="62" customFormat="false" ht="12.8" hidden="false" customHeight="false" outlineLevel="0" collapsed="false">
      <c r="A62" s="19" t="s">
        <v>29</v>
      </c>
      <c r="B62" s="19" t="s">
        <v>4</v>
      </c>
      <c r="C62" s="19" t="s">
        <v>30</v>
      </c>
      <c r="D62" s="19" t="s">
        <v>238</v>
      </c>
      <c r="E62" s="19" t="s">
        <v>67</v>
      </c>
      <c r="G62" s="19" t="s">
        <v>33</v>
      </c>
      <c r="H62" s="19" t="s">
        <v>47</v>
      </c>
      <c r="I62" s="19" t="s">
        <v>687</v>
      </c>
      <c r="J62" s="19" t="s">
        <v>683</v>
      </c>
      <c r="K62" s="19" t="s">
        <v>684</v>
      </c>
      <c r="L62" s="19" t="s">
        <v>685</v>
      </c>
      <c r="M62" s="19" t="n">
        <v>2012</v>
      </c>
      <c r="N62" s="19" t="n">
        <v>52.04</v>
      </c>
      <c r="O62" s="19" t="n">
        <v>52.04</v>
      </c>
      <c r="P62" s="19" t="n">
        <v>26266</v>
      </c>
      <c r="Q62" s="19" t="n">
        <v>26266</v>
      </c>
      <c r="R62" s="19" t="s">
        <v>39</v>
      </c>
      <c r="S62" s="19" t="s">
        <v>40</v>
      </c>
      <c r="T62" s="19" t="s">
        <v>41</v>
      </c>
      <c r="W62" s="19" t="n">
        <v>130100</v>
      </c>
      <c r="X62" s="19" t="s">
        <v>447</v>
      </c>
      <c r="AC62" s="85" t="n">
        <v>41808</v>
      </c>
      <c r="AD62" s="85" t="n">
        <v>42004</v>
      </c>
      <c r="AE62" s="19" t="n">
        <v>1</v>
      </c>
      <c r="AK62" s="85" t="n">
        <v>41801</v>
      </c>
      <c r="AL62" s="85" t="n">
        <v>38290</v>
      </c>
      <c r="AM62" s="19" t="n">
        <v>0.88</v>
      </c>
      <c r="AN62" s="19" t="s">
        <v>688</v>
      </c>
      <c r="AO62" s="19" t="s">
        <v>689</v>
      </c>
      <c r="AR62" s="19" t="s">
        <v>311</v>
      </c>
      <c r="AS62" s="19" t="s">
        <v>312</v>
      </c>
      <c r="AT62" s="19" t="s">
        <v>313</v>
      </c>
      <c r="AV62" s="19" t="n">
        <v>6</v>
      </c>
      <c r="AW62" s="19" t="n">
        <v>6</v>
      </c>
      <c r="AY62" s="19" t="n">
        <v>2023</v>
      </c>
      <c r="AZ62" s="19" t="s">
        <v>535</v>
      </c>
      <c r="BA62" s="19" t="s">
        <v>449</v>
      </c>
      <c r="BB62" s="19" t="n">
        <v>0.1977</v>
      </c>
      <c r="BC62" s="85" t="n">
        <v>45560</v>
      </c>
      <c r="BD62" s="19" t="s">
        <v>450</v>
      </c>
    </row>
    <row r="63" customFormat="false" ht="12.8" hidden="false" customHeight="false" outlineLevel="0" collapsed="false">
      <c r="A63" s="19" t="s">
        <v>29</v>
      </c>
      <c r="B63" s="19" t="s">
        <v>4</v>
      </c>
      <c r="C63" s="19" t="s">
        <v>30</v>
      </c>
      <c r="D63" s="19" t="s">
        <v>31</v>
      </c>
      <c r="E63" s="19" t="s">
        <v>32</v>
      </c>
      <c r="G63" s="19" t="s">
        <v>33</v>
      </c>
      <c r="H63" s="19" t="s">
        <v>34</v>
      </c>
      <c r="I63" s="19" t="s">
        <v>690</v>
      </c>
      <c r="J63" s="19" t="s">
        <v>36</v>
      </c>
      <c r="K63" s="19" t="s">
        <v>37</v>
      </c>
      <c r="L63" s="19" t="s">
        <v>691</v>
      </c>
      <c r="M63" s="19" t="n">
        <v>2012</v>
      </c>
      <c r="N63" s="19" t="n">
        <v>121.7</v>
      </c>
      <c r="O63" s="19" t="n">
        <v>121.7</v>
      </c>
      <c r="P63" s="19" t="n">
        <v>60850</v>
      </c>
      <c r="Q63" s="19" t="n">
        <v>60850</v>
      </c>
      <c r="R63" s="19" t="s">
        <v>39</v>
      </c>
      <c r="S63" s="19" t="s">
        <v>527</v>
      </c>
      <c r="T63" s="19" t="s">
        <v>692</v>
      </c>
      <c r="U63" s="19" t="n">
        <v>1720200</v>
      </c>
      <c r="W63" s="19" t="n">
        <v>304250</v>
      </c>
      <c r="X63" s="19" t="s">
        <v>447</v>
      </c>
      <c r="Y63" s="19" t="n">
        <v>910200</v>
      </c>
      <c r="Z63" s="19" t="n">
        <v>486000</v>
      </c>
      <c r="AA63" s="19" t="n">
        <v>324000</v>
      </c>
      <c r="AC63" s="85" t="n">
        <v>41949</v>
      </c>
      <c r="AD63" s="85" t="n">
        <v>42004</v>
      </c>
      <c r="AE63" s="19" t="n">
        <v>1</v>
      </c>
      <c r="AK63" s="85" t="n">
        <v>41342</v>
      </c>
      <c r="AL63" s="85" t="n">
        <v>41881</v>
      </c>
      <c r="AM63" s="19" t="n">
        <v>0.87</v>
      </c>
      <c r="AN63" s="19" t="s">
        <v>693</v>
      </c>
      <c r="AO63" s="19" t="s">
        <v>694</v>
      </c>
      <c r="AR63" s="19" t="s">
        <v>311</v>
      </c>
      <c r="AS63" s="19" t="s">
        <v>312</v>
      </c>
      <c r="AT63" s="19" t="s">
        <v>313</v>
      </c>
      <c r="AV63" s="19" t="n">
        <v>13</v>
      </c>
      <c r="AW63" s="19" t="n">
        <v>13</v>
      </c>
      <c r="AY63" s="19" t="n">
        <v>2023</v>
      </c>
      <c r="AZ63" s="19" t="s">
        <v>490</v>
      </c>
      <c r="BA63" s="19" t="s">
        <v>480</v>
      </c>
      <c r="BB63" s="19" t="n">
        <v>0.0309</v>
      </c>
      <c r="BC63" s="85" t="n">
        <v>45507</v>
      </c>
      <c r="BD63" s="19" t="s">
        <v>450</v>
      </c>
    </row>
    <row r="64" customFormat="false" ht="12.8" hidden="false" customHeight="false" outlineLevel="0" collapsed="false">
      <c r="A64" s="19" t="s">
        <v>29</v>
      </c>
      <c r="B64" s="19" t="s">
        <v>4</v>
      </c>
      <c r="C64" s="19" t="s">
        <v>30</v>
      </c>
      <c r="D64" s="19" t="s">
        <v>695</v>
      </c>
      <c r="E64" s="19" t="s">
        <v>32</v>
      </c>
      <c r="G64" s="19" t="s">
        <v>33</v>
      </c>
      <c r="H64" s="19" t="s">
        <v>34</v>
      </c>
      <c r="I64" s="19" t="s">
        <v>696</v>
      </c>
      <c r="J64" s="19" t="s">
        <v>36</v>
      </c>
      <c r="K64" s="19" t="s">
        <v>504</v>
      </c>
      <c r="L64" s="19" t="s">
        <v>691</v>
      </c>
      <c r="M64" s="19" t="n">
        <v>2012</v>
      </c>
      <c r="N64" s="19" t="n">
        <v>40</v>
      </c>
      <c r="O64" s="19" t="n">
        <v>40</v>
      </c>
      <c r="P64" s="19" t="n">
        <v>20000</v>
      </c>
      <c r="Q64" s="19" t="n">
        <v>20000</v>
      </c>
      <c r="R64" s="19" t="s">
        <v>52</v>
      </c>
      <c r="S64" s="19" t="s">
        <v>211</v>
      </c>
      <c r="T64" s="19" t="s">
        <v>697</v>
      </c>
      <c r="U64" s="19" t="n">
        <v>560000</v>
      </c>
      <c r="W64" s="19" t="n">
        <v>100000</v>
      </c>
      <c r="X64" s="19" t="s">
        <v>447</v>
      </c>
      <c r="Y64" s="19" t="n">
        <v>560000</v>
      </c>
      <c r="AC64" s="85" t="n">
        <v>41949</v>
      </c>
      <c r="AD64" s="85" t="n">
        <v>42004</v>
      </c>
      <c r="AE64" s="19" t="n">
        <v>1</v>
      </c>
      <c r="AK64" s="85" t="n">
        <v>41342</v>
      </c>
      <c r="AL64" s="85" t="n">
        <v>41874</v>
      </c>
      <c r="AM64" s="19" t="n">
        <v>0.86</v>
      </c>
      <c r="AN64" s="19" t="s">
        <v>698</v>
      </c>
      <c r="AO64" s="19" t="s">
        <v>694</v>
      </c>
      <c r="AR64" s="19" t="s">
        <v>311</v>
      </c>
      <c r="AS64" s="19" t="s">
        <v>312</v>
      </c>
      <c r="AT64" s="19" t="s">
        <v>313</v>
      </c>
      <c r="AV64" s="19" t="n">
        <v>5</v>
      </c>
      <c r="AW64" s="19" t="n">
        <v>5</v>
      </c>
      <c r="AY64" s="19" t="n">
        <v>2023</v>
      </c>
      <c r="AZ64" s="19" t="s">
        <v>490</v>
      </c>
      <c r="BA64" s="19" t="s">
        <v>480</v>
      </c>
      <c r="BB64" s="19" t="n">
        <v>0.094</v>
      </c>
      <c r="BC64" s="85" t="n">
        <v>45491</v>
      </c>
      <c r="BD64" s="19" t="s">
        <v>450</v>
      </c>
    </row>
    <row r="65" customFormat="false" ht="12.8" hidden="false" customHeight="false" outlineLevel="0" collapsed="false">
      <c r="A65" s="19" t="s">
        <v>29</v>
      </c>
      <c r="B65" s="19" t="s">
        <v>4</v>
      </c>
      <c r="C65" s="19" t="s">
        <v>30</v>
      </c>
      <c r="D65" s="19" t="s">
        <v>204</v>
      </c>
      <c r="E65" s="19" t="s">
        <v>32</v>
      </c>
      <c r="G65" s="19" t="s">
        <v>33</v>
      </c>
      <c r="H65" s="19" t="s">
        <v>47</v>
      </c>
      <c r="I65" s="19" t="s">
        <v>699</v>
      </c>
      <c r="J65" s="19" t="s">
        <v>700</v>
      </c>
      <c r="K65" s="19" t="s">
        <v>337</v>
      </c>
      <c r="L65" s="19" t="s">
        <v>701</v>
      </c>
      <c r="M65" s="19" t="n">
        <v>2012</v>
      </c>
      <c r="N65" s="19" t="n">
        <v>116.31</v>
      </c>
      <c r="O65" s="19" t="n">
        <v>116.31</v>
      </c>
      <c r="P65" s="19" t="n">
        <v>58155</v>
      </c>
      <c r="Q65" s="19" t="n">
        <v>58155</v>
      </c>
      <c r="R65" s="19" t="s">
        <v>39</v>
      </c>
      <c r="S65" s="19" t="s">
        <v>527</v>
      </c>
      <c r="T65" s="19" t="s">
        <v>702</v>
      </c>
      <c r="U65" s="19" t="n">
        <v>1018000</v>
      </c>
      <c r="W65" s="19" t="n">
        <v>290775</v>
      </c>
      <c r="X65" s="19" t="s">
        <v>447</v>
      </c>
      <c r="Y65" s="19" t="n">
        <v>438000</v>
      </c>
      <c r="Z65" s="19" t="n">
        <v>348000</v>
      </c>
      <c r="AA65" s="19" t="n">
        <v>232000</v>
      </c>
      <c r="AC65" s="85" t="n">
        <v>41023</v>
      </c>
      <c r="AD65" s="85" t="n">
        <v>42004</v>
      </c>
      <c r="AE65" s="19" t="n">
        <v>1</v>
      </c>
      <c r="AK65" s="85" t="n">
        <v>41029</v>
      </c>
      <c r="AL65" s="85" t="n">
        <v>41888</v>
      </c>
      <c r="AM65" s="19" t="n">
        <v>0.86</v>
      </c>
      <c r="AN65" s="19" t="s">
        <v>703</v>
      </c>
      <c r="AO65" s="19" t="s">
        <v>704</v>
      </c>
      <c r="AQ65" s="85" t="n">
        <v>43767</v>
      </c>
      <c r="AR65" s="19" t="s">
        <v>325</v>
      </c>
      <c r="AS65" s="19" t="s">
        <v>705</v>
      </c>
      <c r="AT65" s="19" t="s">
        <v>313</v>
      </c>
      <c r="AV65" s="19" t="n">
        <v>13</v>
      </c>
      <c r="AW65" s="19" t="n">
        <v>13</v>
      </c>
      <c r="AY65" s="19" t="n">
        <v>2023</v>
      </c>
      <c r="AZ65" s="19" t="s">
        <v>535</v>
      </c>
      <c r="BA65" s="19" t="s">
        <v>449</v>
      </c>
      <c r="BB65" s="19" t="n">
        <v>0.0642</v>
      </c>
      <c r="BC65" s="85" t="n">
        <v>45637</v>
      </c>
      <c r="BD65" s="19" t="s">
        <v>450</v>
      </c>
    </row>
    <row r="66" customFormat="false" ht="12.8" hidden="false" customHeight="false" outlineLevel="0" collapsed="false">
      <c r="A66" s="19" t="s">
        <v>29</v>
      </c>
      <c r="B66" s="19" t="s">
        <v>4</v>
      </c>
      <c r="C66" s="19" t="s">
        <v>30</v>
      </c>
      <c r="D66" s="19" t="s">
        <v>177</v>
      </c>
      <c r="E66" s="19" t="s">
        <v>178</v>
      </c>
      <c r="G66" s="19" t="s">
        <v>33</v>
      </c>
      <c r="H66" s="19" t="s">
        <v>47</v>
      </c>
      <c r="I66" s="19" t="s">
        <v>706</v>
      </c>
      <c r="J66" s="19" t="s">
        <v>707</v>
      </c>
      <c r="K66" s="19" t="s">
        <v>708</v>
      </c>
      <c r="L66" s="19" t="s">
        <v>709</v>
      </c>
      <c r="M66" s="19" t="n">
        <v>2012</v>
      </c>
      <c r="N66" s="19" t="n">
        <v>51.64</v>
      </c>
      <c r="O66" s="19" t="n">
        <v>51.64</v>
      </c>
      <c r="P66" s="19" t="n">
        <v>25822</v>
      </c>
      <c r="Q66" s="19" t="n">
        <v>25822</v>
      </c>
      <c r="R66" s="19" t="s">
        <v>39</v>
      </c>
      <c r="S66" s="19" t="s">
        <v>40</v>
      </c>
      <c r="T66" s="19" t="s">
        <v>145</v>
      </c>
      <c r="U66" s="19" t="n">
        <v>625000</v>
      </c>
      <c r="W66" s="19" t="n">
        <v>129100</v>
      </c>
      <c r="X66" s="19" t="s">
        <v>447</v>
      </c>
      <c r="Y66" s="19" t="n">
        <v>370000</v>
      </c>
      <c r="Z66" s="19" t="n">
        <v>153000</v>
      </c>
      <c r="AA66" s="19" t="n">
        <v>102000</v>
      </c>
      <c r="AD66" s="85" t="n">
        <v>42004</v>
      </c>
      <c r="AE66" s="19" t="n">
        <v>1</v>
      </c>
      <c r="AM66" s="19" t="n">
        <v>0.87</v>
      </c>
      <c r="AN66" s="19" t="s">
        <v>710</v>
      </c>
      <c r="AO66" s="19" t="s">
        <v>711</v>
      </c>
      <c r="AR66" s="19" t="s">
        <v>117</v>
      </c>
      <c r="AS66" s="19" t="s">
        <v>117</v>
      </c>
      <c r="AT66" s="19" t="s">
        <v>313</v>
      </c>
      <c r="AV66" s="19" t="n">
        <v>6</v>
      </c>
      <c r="AW66" s="19" t="n">
        <v>6</v>
      </c>
      <c r="AY66" s="19" t="n">
        <v>2023</v>
      </c>
      <c r="AZ66" s="19" t="s">
        <v>535</v>
      </c>
      <c r="BA66" s="19" t="s">
        <v>480</v>
      </c>
      <c r="BB66" s="19" t="n">
        <v>0.0763</v>
      </c>
      <c r="BC66" s="85" t="n">
        <v>45429</v>
      </c>
      <c r="BD66" s="19" t="s">
        <v>450</v>
      </c>
    </row>
    <row r="67" customFormat="false" ht="12.8" hidden="false" customHeight="false" outlineLevel="0" collapsed="false">
      <c r="A67" s="19" t="s">
        <v>29</v>
      </c>
      <c r="B67" s="19" t="s">
        <v>4</v>
      </c>
      <c r="C67" s="19" t="s">
        <v>43</v>
      </c>
      <c r="D67" s="19" t="s">
        <v>107</v>
      </c>
      <c r="E67" s="19" t="s">
        <v>45</v>
      </c>
      <c r="G67" s="19" t="s">
        <v>80</v>
      </c>
      <c r="H67" s="19" t="s">
        <v>47</v>
      </c>
      <c r="I67" s="19" t="s">
        <v>712</v>
      </c>
      <c r="J67" s="19" t="s">
        <v>713</v>
      </c>
      <c r="K67" s="19" t="s">
        <v>714</v>
      </c>
      <c r="L67" s="19" t="s">
        <v>715</v>
      </c>
      <c r="M67" s="19" t="n">
        <v>2013</v>
      </c>
      <c r="N67" s="19" t="n">
        <v>42</v>
      </c>
      <c r="O67" s="19" t="n">
        <v>42</v>
      </c>
      <c r="P67" s="19" t="n">
        <v>8401</v>
      </c>
      <c r="Q67" s="19" t="n">
        <v>8401</v>
      </c>
      <c r="R67" s="19" t="s">
        <v>39</v>
      </c>
      <c r="S67" s="19" t="s">
        <v>184</v>
      </c>
      <c r="T67" s="19" t="s">
        <v>185</v>
      </c>
      <c r="U67" s="19" t="n">
        <v>1375000</v>
      </c>
      <c r="V67" s="19" t="n">
        <v>252000</v>
      </c>
      <c r="W67" s="19" t="n">
        <v>168000</v>
      </c>
      <c r="X67" s="19" t="s">
        <v>447</v>
      </c>
      <c r="Y67" s="19" t="n">
        <v>42000</v>
      </c>
      <c r="Z67" s="19" t="n">
        <v>168000</v>
      </c>
      <c r="AA67" s="19" t="n">
        <v>84000</v>
      </c>
      <c r="AC67" s="85" t="n">
        <v>42088</v>
      </c>
      <c r="AD67" s="85" t="n">
        <v>42369</v>
      </c>
      <c r="AE67" s="19" t="n">
        <v>1</v>
      </c>
      <c r="AK67" s="85" t="n">
        <v>42068</v>
      </c>
      <c r="AL67" s="85" t="n">
        <v>42307</v>
      </c>
      <c r="AM67" s="19" t="n">
        <v>0.86</v>
      </c>
      <c r="AR67" s="19" t="s">
        <v>117</v>
      </c>
      <c r="AS67" s="19" t="s">
        <v>117</v>
      </c>
      <c r="AT67" s="19" t="s">
        <v>313</v>
      </c>
      <c r="AV67" s="19" t="n">
        <v>5</v>
      </c>
      <c r="AW67" s="19" t="n">
        <v>5</v>
      </c>
      <c r="AY67" s="19" t="n">
        <v>2023</v>
      </c>
      <c r="AZ67" s="19" t="s">
        <v>448</v>
      </c>
      <c r="BA67" s="19" t="s">
        <v>574</v>
      </c>
      <c r="BB67" s="19" t="n">
        <v>0.711</v>
      </c>
      <c r="BC67" s="85" t="n">
        <v>45420</v>
      </c>
      <c r="BD67" s="19" t="s">
        <v>450</v>
      </c>
    </row>
    <row r="68" customFormat="false" ht="12.8" hidden="false" customHeight="false" outlineLevel="0" collapsed="false">
      <c r="A68" s="19" t="s">
        <v>29</v>
      </c>
      <c r="B68" s="19" t="s">
        <v>4</v>
      </c>
      <c r="C68" s="19" t="s">
        <v>43</v>
      </c>
      <c r="D68" s="19" t="s">
        <v>107</v>
      </c>
      <c r="E68" s="19" t="s">
        <v>45</v>
      </c>
      <c r="G68" s="19" t="s">
        <v>80</v>
      </c>
      <c r="H68" s="19" t="s">
        <v>47</v>
      </c>
      <c r="I68" s="19" t="s">
        <v>716</v>
      </c>
      <c r="J68" s="19" t="s">
        <v>713</v>
      </c>
      <c r="K68" s="19" t="s">
        <v>714</v>
      </c>
      <c r="L68" s="19" t="s">
        <v>715</v>
      </c>
      <c r="M68" s="19" t="n">
        <v>2013</v>
      </c>
      <c r="N68" s="19" t="n">
        <v>75</v>
      </c>
      <c r="O68" s="19" t="n">
        <v>75</v>
      </c>
      <c r="P68" s="19" t="n">
        <v>75012</v>
      </c>
      <c r="Q68" s="19" t="n">
        <v>75012</v>
      </c>
      <c r="R68" s="19" t="s">
        <v>39</v>
      </c>
      <c r="S68" s="19" t="s">
        <v>717</v>
      </c>
      <c r="T68" s="19" t="s">
        <v>718</v>
      </c>
      <c r="U68" s="19" t="n">
        <v>1375000</v>
      </c>
      <c r="V68" s="19" t="n">
        <v>439500</v>
      </c>
      <c r="W68" s="19" t="n">
        <v>300000</v>
      </c>
      <c r="X68" s="19" t="s">
        <v>447</v>
      </c>
      <c r="Y68" s="19" t="n">
        <v>75000</v>
      </c>
      <c r="Z68" s="19" t="n">
        <v>300000</v>
      </c>
      <c r="AA68" s="19" t="n">
        <v>150000</v>
      </c>
      <c r="AC68" s="85" t="n">
        <v>42060</v>
      </c>
      <c r="AD68" s="85" t="n">
        <v>42369</v>
      </c>
      <c r="AE68" s="19" t="n">
        <v>1</v>
      </c>
      <c r="AK68" s="85" t="n">
        <v>42068</v>
      </c>
      <c r="AM68" s="19" t="n">
        <v>0.851</v>
      </c>
      <c r="AN68" s="19" t="s">
        <v>719</v>
      </c>
      <c r="AO68" s="19" t="s">
        <v>720</v>
      </c>
      <c r="AR68" s="19" t="s">
        <v>311</v>
      </c>
      <c r="AS68" s="19" t="s">
        <v>312</v>
      </c>
      <c r="AT68" s="19" t="s">
        <v>313</v>
      </c>
      <c r="AV68" s="19" t="n">
        <v>8</v>
      </c>
      <c r="AW68" s="19" t="n">
        <v>8</v>
      </c>
      <c r="AY68" s="19" t="n">
        <v>2023</v>
      </c>
      <c r="AZ68" s="19" t="s">
        <v>476</v>
      </c>
      <c r="BA68" s="19" t="s">
        <v>449</v>
      </c>
      <c r="BB68" s="19" t="n">
        <v>0.1791</v>
      </c>
      <c r="BC68" s="85" t="n">
        <v>45420</v>
      </c>
      <c r="BD68" s="19" t="s">
        <v>450</v>
      </c>
    </row>
    <row r="69" customFormat="false" ht="12.8" hidden="false" customHeight="false" outlineLevel="0" collapsed="false">
      <c r="A69" s="19" t="s">
        <v>29</v>
      </c>
      <c r="B69" s="19" t="s">
        <v>4</v>
      </c>
      <c r="C69" s="19" t="s">
        <v>30</v>
      </c>
      <c r="D69" s="19" t="s">
        <v>721</v>
      </c>
      <c r="E69" s="19" t="s">
        <v>178</v>
      </c>
      <c r="G69" s="19" t="s">
        <v>629</v>
      </c>
      <c r="H69" s="19" t="s">
        <v>47</v>
      </c>
      <c r="I69" s="19" t="s">
        <v>722</v>
      </c>
      <c r="J69" s="19" t="s">
        <v>723</v>
      </c>
      <c r="K69" s="19" t="s">
        <v>444</v>
      </c>
      <c r="L69" s="19" t="s">
        <v>724</v>
      </c>
      <c r="M69" s="19" t="n">
        <v>2013</v>
      </c>
      <c r="N69" s="19" t="n">
        <v>20</v>
      </c>
      <c r="O69" s="19" t="n">
        <v>20</v>
      </c>
      <c r="P69" s="19" t="n">
        <v>8000</v>
      </c>
      <c r="Q69" s="19" t="n">
        <v>8000</v>
      </c>
      <c r="R69" s="19" t="s">
        <v>39</v>
      </c>
      <c r="S69" s="19" t="s">
        <v>725</v>
      </c>
      <c r="T69" s="19" t="s">
        <v>726</v>
      </c>
      <c r="U69" s="19" t="n">
        <v>760000</v>
      </c>
      <c r="V69" s="19" t="n">
        <v>117200</v>
      </c>
      <c r="W69" s="19" t="n">
        <v>80000</v>
      </c>
      <c r="X69" s="19" t="s">
        <v>447</v>
      </c>
      <c r="Y69" s="19" t="n">
        <v>20000</v>
      </c>
      <c r="Z69" s="19" t="n">
        <v>80000</v>
      </c>
      <c r="AA69" s="19" t="n">
        <v>40000</v>
      </c>
      <c r="AC69" s="85" t="n">
        <v>42088</v>
      </c>
      <c r="AD69" s="85" t="n">
        <v>42369</v>
      </c>
      <c r="AE69" s="19" t="n">
        <v>1</v>
      </c>
      <c r="AI69" s="19" t="n">
        <v>40000</v>
      </c>
      <c r="AK69" s="85" t="n">
        <v>42068</v>
      </c>
      <c r="AL69" s="85" t="n">
        <v>42298</v>
      </c>
      <c r="AM69" s="19" t="n">
        <v>0.8593</v>
      </c>
      <c r="AR69" s="19" t="s">
        <v>447</v>
      </c>
      <c r="AS69" s="19" t="s">
        <v>447</v>
      </c>
      <c r="AT69" s="19" t="s">
        <v>313</v>
      </c>
      <c r="AV69" s="19" t="n">
        <v>3</v>
      </c>
      <c r="AW69" s="19" t="n">
        <v>3</v>
      </c>
      <c r="AY69" s="19" t="n">
        <v>2023</v>
      </c>
      <c r="AZ69" s="19" t="s">
        <v>535</v>
      </c>
      <c r="BA69" s="19" t="s">
        <v>449</v>
      </c>
      <c r="BB69" s="19" t="n">
        <v>0.0253</v>
      </c>
      <c r="BC69" s="85" t="n">
        <v>45605</v>
      </c>
      <c r="BD69" s="19" t="s">
        <v>450</v>
      </c>
    </row>
    <row r="70" customFormat="false" ht="12.8" hidden="false" customHeight="false" outlineLevel="0" collapsed="false">
      <c r="A70" s="19" t="s">
        <v>29</v>
      </c>
      <c r="B70" s="19" t="s">
        <v>4</v>
      </c>
      <c r="C70" s="19" t="s">
        <v>30</v>
      </c>
      <c r="D70" s="19" t="s">
        <v>727</v>
      </c>
      <c r="E70" s="19" t="s">
        <v>221</v>
      </c>
      <c r="G70" s="19" t="s">
        <v>33</v>
      </c>
      <c r="H70" s="19" t="s">
        <v>47</v>
      </c>
      <c r="I70" s="19" t="s">
        <v>728</v>
      </c>
      <c r="J70" s="19" t="s">
        <v>729</v>
      </c>
      <c r="K70" s="19" t="s">
        <v>730</v>
      </c>
      <c r="L70" s="19" t="s">
        <v>731</v>
      </c>
      <c r="M70" s="19" t="n">
        <v>2013</v>
      </c>
      <c r="N70" s="19" t="n">
        <v>50</v>
      </c>
      <c r="O70" s="19" t="n">
        <v>50</v>
      </c>
      <c r="P70" s="19" t="n">
        <v>25000</v>
      </c>
      <c r="Q70" s="19" t="n">
        <v>25000</v>
      </c>
      <c r="R70" s="19" t="s">
        <v>39</v>
      </c>
      <c r="S70" s="19" t="s">
        <v>93</v>
      </c>
      <c r="T70" s="19" t="s">
        <v>732</v>
      </c>
      <c r="U70" s="19" t="n">
        <v>250000</v>
      </c>
      <c r="V70" s="19" t="n">
        <v>500000</v>
      </c>
      <c r="W70" s="19" t="n">
        <v>200000</v>
      </c>
      <c r="X70" s="19" t="s">
        <v>447</v>
      </c>
      <c r="Y70" s="19" t="n">
        <v>50000</v>
      </c>
      <c r="Z70" s="19" t="n">
        <v>200000</v>
      </c>
      <c r="AA70" s="19" t="n">
        <v>100000</v>
      </c>
      <c r="AC70" s="85" t="n">
        <v>42087</v>
      </c>
      <c r="AD70" s="85" t="n">
        <v>42369</v>
      </c>
      <c r="AE70" s="19" t="n">
        <v>1</v>
      </c>
      <c r="AK70" s="85" t="n">
        <v>42068</v>
      </c>
      <c r="AL70" s="85" t="n">
        <v>42292</v>
      </c>
      <c r="AM70" s="19" t="n">
        <v>0.865</v>
      </c>
      <c r="AR70" s="19" t="s">
        <v>117</v>
      </c>
      <c r="AS70" s="19" t="s">
        <v>117</v>
      </c>
      <c r="AT70" s="19" t="s">
        <v>313</v>
      </c>
      <c r="AV70" s="19" t="n">
        <v>6</v>
      </c>
      <c r="AW70" s="19" t="n">
        <v>6</v>
      </c>
      <c r="AY70" s="19" t="n">
        <v>2023</v>
      </c>
      <c r="AZ70" s="19" t="s">
        <v>457</v>
      </c>
      <c r="BA70" s="19" t="s">
        <v>501</v>
      </c>
      <c r="BB70" s="19" t="n">
        <v>0.265</v>
      </c>
      <c r="BC70" s="85" t="n">
        <v>45554</v>
      </c>
      <c r="BD70" s="19" t="s">
        <v>450</v>
      </c>
    </row>
    <row r="71" customFormat="false" ht="12.8" hidden="false" customHeight="false" outlineLevel="0" collapsed="false">
      <c r="A71" s="19" t="s">
        <v>29</v>
      </c>
      <c r="B71" s="19" t="s">
        <v>4</v>
      </c>
      <c r="C71" s="19" t="s">
        <v>30</v>
      </c>
      <c r="D71" s="19" t="s">
        <v>213</v>
      </c>
      <c r="E71" s="19" t="s">
        <v>178</v>
      </c>
      <c r="G71" s="19" t="s">
        <v>33</v>
      </c>
      <c r="H71" s="19" t="s">
        <v>47</v>
      </c>
      <c r="I71" s="19" t="s">
        <v>733</v>
      </c>
      <c r="J71" s="19" t="s">
        <v>530</v>
      </c>
      <c r="K71" s="19" t="s">
        <v>348</v>
      </c>
      <c r="L71" s="19" t="s">
        <v>734</v>
      </c>
      <c r="M71" s="19" t="n">
        <v>2013</v>
      </c>
      <c r="N71" s="19" t="n">
        <v>10</v>
      </c>
      <c r="O71" s="19" t="n">
        <v>10</v>
      </c>
      <c r="P71" s="19" t="n">
        <v>4150</v>
      </c>
      <c r="Q71" s="19" t="n">
        <v>4150</v>
      </c>
      <c r="R71" s="19" t="s">
        <v>39</v>
      </c>
      <c r="S71" s="19" t="s">
        <v>508</v>
      </c>
      <c r="T71" s="19" t="s">
        <v>508</v>
      </c>
      <c r="U71" s="19" t="n">
        <v>320000</v>
      </c>
      <c r="V71" s="19" t="n">
        <v>72000</v>
      </c>
      <c r="W71" s="19" t="n">
        <v>40000</v>
      </c>
      <c r="X71" s="19" t="s">
        <v>447</v>
      </c>
      <c r="Y71" s="19" t="n">
        <v>10000</v>
      </c>
      <c r="Z71" s="19" t="n">
        <v>40000</v>
      </c>
      <c r="AA71" s="19" t="n">
        <v>20000</v>
      </c>
      <c r="AC71" s="85" t="n">
        <v>42149</v>
      </c>
      <c r="AD71" s="85" t="n">
        <v>42369</v>
      </c>
      <c r="AE71" s="19" t="n">
        <v>1</v>
      </c>
      <c r="AK71" s="85" t="n">
        <v>41801</v>
      </c>
      <c r="AL71" s="85" t="n">
        <v>42319</v>
      </c>
      <c r="AM71" s="19" t="n">
        <v>0.858</v>
      </c>
      <c r="AR71" s="19" t="s">
        <v>311</v>
      </c>
      <c r="AS71" s="19" t="s">
        <v>312</v>
      </c>
      <c r="AT71" s="19" t="s">
        <v>313</v>
      </c>
      <c r="AV71" s="19" t="n">
        <v>2</v>
      </c>
      <c r="AW71" s="19" t="n">
        <v>2</v>
      </c>
      <c r="AY71" s="19" t="n">
        <v>2023</v>
      </c>
      <c r="AZ71" s="19" t="s">
        <v>448</v>
      </c>
      <c r="BA71" s="19" t="s">
        <v>449</v>
      </c>
      <c r="BB71" s="19" t="n">
        <v>0.6738</v>
      </c>
      <c r="BC71" s="85" t="n">
        <v>45638</v>
      </c>
      <c r="BD71" s="19" t="s">
        <v>450</v>
      </c>
    </row>
    <row r="72" customFormat="false" ht="12.8" hidden="false" customHeight="false" outlineLevel="0" collapsed="false">
      <c r="A72" s="19" t="s">
        <v>29</v>
      </c>
      <c r="B72" s="19" t="s">
        <v>4</v>
      </c>
      <c r="C72" s="19" t="s">
        <v>30</v>
      </c>
      <c r="D72" s="19" t="s">
        <v>671</v>
      </c>
      <c r="E72" s="19" t="s">
        <v>79</v>
      </c>
      <c r="G72" s="19" t="s">
        <v>80</v>
      </c>
      <c r="H72" s="19" t="s">
        <v>47</v>
      </c>
      <c r="I72" s="19" t="s">
        <v>735</v>
      </c>
      <c r="J72" s="19" t="s">
        <v>483</v>
      </c>
      <c r="K72" s="19" t="s">
        <v>484</v>
      </c>
      <c r="L72" s="19" t="s">
        <v>736</v>
      </c>
      <c r="M72" s="19" t="n">
        <v>2013</v>
      </c>
      <c r="N72" s="19" t="n">
        <v>44</v>
      </c>
      <c r="O72" s="19" t="n">
        <v>44</v>
      </c>
      <c r="P72" s="19" t="n">
        <v>22000</v>
      </c>
      <c r="Q72" s="19" t="n">
        <v>22000</v>
      </c>
      <c r="R72" s="19" t="s">
        <v>39</v>
      </c>
      <c r="S72" s="19" t="s">
        <v>93</v>
      </c>
      <c r="T72" s="19" t="s">
        <v>737</v>
      </c>
      <c r="U72" s="19" t="n">
        <v>719000</v>
      </c>
      <c r="V72" s="19" t="n">
        <v>440000</v>
      </c>
      <c r="W72" s="19" t="n">
        <v>176000</v>
      </c>
      <c r="X72" s="19" t="s">
        <v>447</v>
      </c>
      <c r="Y72" s="19" t="n">
        <v>44000</v>
      </c>
      <c r="Z72" s="19" t="n">
        <v>176000</v>
      </c>
      <c r="AA72" s="19" t="n">
        <v>88000</v>
      </c>
      <c r="AC72" s="85" t="n">
        <v>42095</v>
      </c>
      <c r="AD72" s="85" t="n">
        <v>42369</v>
      </c>
      <c r="AE72" s="19" t="n">
        <v>1</v>
      </c>
      <c r="AH72" s="19" t="n">
        <v>0</v>
      </c>
      <c r="AI72" s="19" t="n">
        <v>128000</v>
      </c>
      <c r="AK72" s="85" t="n">
        <v>42045</v>
      </c>
      <c r="AL72" s="85" t="n">
        <v>42306</v>
      </c>
      <c r="AM72" s="19" t="n">
        <v>0.85</v>
      </c>
      <c r="AR72" s="19" t="s">
        <v>325</v>
      </c>
      <c r="AS72" s="19" t="s">
        <v>738</v>
      </c>
      <c r="AT72" s="19" t="s">
        <v>313</v>
      </c>
      <c r="AV72" s="19" t="n">
        <v>5</v>
      </c>
      <c r="AW72" s="19" t="n">
        <v>5</v>
      </c>
      <c r="AY72" s="19" t="n">
        <v>2023</v>
      </c>
      <c r="AZ72" s="19" t="s">
        <v>457</v>
      </c>
      <c r="BA72" s="19" t="s">
        <v>501</v>
      </c>
      <c r="BB72" s="19" t="n">
        <v>0.9372</v>
      </c>
      <c r="BC72" s="85" t="n">
        <v>45512</v>
      </c>
      <c r="BD72" s="19" t="s">
        <v>450</v>
      </c>
    </row>
    <row r="73" customFormat="false" ht="12.8" hidden="false" customHeight="false" outlineLevel="0" collapsed="false">
      <c r="A73" s="19" t="s">
        <v>29</v>
      </c>
      <c r="B73" s="19" t="s">
        <v>4</v>
      </c>
      <c r="C73" s="19" t="s">
        <v>30</v>
      </c>
      <c r="D73" s="19" t="s">
        <v>544</v>
      </c>
      <c r="E73" s="19" t="s">
        <v>221</v>
      </c>
      <c r="G73" s="19" t="s">
        <v>33</v>
      </c>
      <c r="H73" s="19" t="s">
        <v>47</v>
      </c>
      <c r="I73" s="19" t="s">
        <v>739</v>
      </c>
      <c r="J73" s="19" t="s">
        <v>740</v>
      </c>
      <c r="K73" s="19" t="s">
        <v>741</v>
      </c>
      <c r="L73" s="19" t="s">
        <v>742</v>
      </c>
      <c r="M73" s="19" t="n">
        <v>2013</v>
      </c>
      <c r="N73" s="19" t="n">
        <v>50</v>
      </c>
      <c r="O73" s="19" t="n">
        <v>50</v>
      </c>
      <c r="P73" s="19" t="n">
        <v>16648</v>
      </c>
      <c r="Q73" s="19" t="n">
        <v>16648</v>
      </c>
      <c r="R73" s="19" t="s">
        <v>39</v>
      </c>
      <c r="S73" s="19" t="s">
        <v>743</v>
      </c>
      <c r="T73" s="19" t="s">
        <v>743</v>
      </c>
      <c r="U73" s="19" t="n">
        <v>120000</v>
      </c>
      <c r="V73" s="19" t="n">
        <v>335997</v>
      </c>
      <c r="W73" s="19" t="n">
        <v>200000</v>
      </c>
      <c r="X73" s="19" t="s">
        <v>447</v>
      </c>
      <c r="Y73" s="19" t="n">
        <v>50000</v>
      </c>
      <c r="Z73" s="19" t="n">
        <v>200000</v>
      </c>
      <c r="AA73" s="19" t="n">
        <v>100000</v>
      </c>
      <c r="AC73" s="85" t="n">
        <v>42095</v>
      </c>
      <c r="AD73" s="85" t="n">
        <v>42369</v>
      </c>
      <c r="AE73" s="19" t="n">
        <v>1</v>
      </c>
      <c r="AH73" s="19" t="n">
        <v>0</v>
      </c>
      <c r="AI73" s="19" t="n">
        <v>0</v>
      </c>
      <c r="AK73" s="85" t="n">
        <v>42045</v>
      </c>
      <c r="AL73" s="85" t="n">
        <v>42305</v>
      </c>
      <c r="AM73" s="19" t="n">
        <v>0.861</v>
      </c>
      <c r="AR73" s="19" t="s">
        <v>325</v>
      </c>
      <c r="AS73" s="19" t="s">
        <v>738</v>
      </c>
      <c r="AT73" s="19" t="s">
        <v>313</v>
      </c>
      <c r="AV73" s="19" t="n">
        <v>6</v>
      </c>
      <c r="AW73" s="19" t="n">
        <v>6</v>
      </c>
      <c r="AY73" s="19" t="n">
        <v>2023</v>
      </c>
      <c r="AZ73" s="19" t="s">
        <v>457</v>
      </c>
      <c r="BA73" s="19" t="s">
        <v>501</v>
      </c>
      <c r="BB73" s="19" t="n">
        <v>0.3629</v>
      </c>
      <c r="BC73" s="85" t="n">
        <v>45554</v>
      </c>
      <c r="BD73" s="19" t="s">
        <v>450</v>
      </c>
    </row>
    <row r="74" customFormat="false" ht="12.8" hidden="false" customHeight="false" outlineLevel="0" collapsed="false">
      <c r="A74" s="19" t="s">
        <v>29</v>
      </c>
      <c r="B74" s="19" t="s">
        <v>4</v>
      </c>
      <c r="C74" s="19" t="s">
        <v>30</v>
      </c>
      <c r="D74" s="19" t="s">
        <v>744</v>
      </c>
      <c r="E74" s="19" t="s">
        <v>221</v>
      </c>
      <c r="G74" s="19" t="s">
        <v>33</v>
      </c>
      <c r="H74" s="19" t="s">
        <v>47</v>
      </c>
      <c r="I74" s="19" t="s">
        <v>745</v>
      </c>
      <c r="J74" s="19" t="s">
        <v>746</v>
      </c>
      <c r="K74" s="19" t="s">
        <v>747</v>
      </c>
      <c r="L74" s="19" t="s">
        <v>748</v>
      </c>
      <c r="M74" s="19" t="n">
        <v>2013</v>
      </c>
      <c r="N74" s="19" t="n">
        <v>45.01</v>
      </c>
      <c r="O74" s="19" t="n">
        <v>45.01</v>
      </c>
      <c r="P74" s="19" t="n">
        <v>18005</v>
      </c>
      <c r="Q74" s="19" t="n">
        <v>18005</v>
      </c>
      <c r="R74" s="19" t="s">
        <v>39</v>
      </c>
      <c r="S74" s="19" t="s">
        <v>508</v>
      </c>
      <c r="T74" s="19" t="s">
        <v>508</v>
      </c>
      <c r="U74" s="19" t="n">
        <v>733000</v>
      </c>
      <c r="V74" s="19" t="n">
        <v>302464.4994</v>
      </c>
      <c r="W74" s="19" t="n">
        <v>180040</v>
      </c>
      <c r="X74" s="19" t="s">
        <v>447</v>
      </c>
      <c r="Y74" s="19" t="n">
        <v>45010</v>
      </c>
      <c r="Z74" s="19" t="n">
        <v>180040</v>
      </c>
      <c r="AA74" s="19" t="n">
        <v>90020</v>
      </c>
      <c r="AC74" s="85" t="n">
        <v>42088</v>
      </c>
      <c r="AD74" s="85" t="n">
        <v>42369</v>
      </c>
      <c r="AE74" s="19" t="n">
        <v>1</v>
      </c>
      <c r="AH74" s="19" t="n">
        <v>0</v>
      </c>
      <c r="AI74" s="19" t="n">
        <v>0</v>
      </c>
      <c r="AK74" s="85" t="n">
        <v>41949</v>
      </c>
      <c r="AM74" s="19" t="n">
        <v>0.8699</v>
      </c>
      <c r="AR74" s="19" t="s">
        <v>311</v>
      </c>
      <c r="AS74" s="19" t="s">
        <v>364</v>
      </c>
      <c r="AT74" s="19" t="s">
        <v>313</v>
      </c>
      <c r="AV74" s="19" t="n">
        <v>5</v>
      </c>
      <c r="AW74" s="19" t="n">
        <v>5</v>
      </c>
      <c r="AY74" s="19" t="n">
        <v>2023</v>
      </c>
      <c r="AZ74" s="19" t="s">
        <v>476</v>
      </c>
      <c r="BA74" s="19" t="s">
        <v>480</v>
      </c>
      <c r="BB74" s="19" t="n">
        <v>0.2732</v>
      </c>
      <c r="BC74" s="85" t="n">
        <v>45554</v>
      </c>
      <c r="BD74" s="19" t="s">
        <v>450</v>
      </c>
    </row>
    <row r="75" customFormat="false" ht="12.8" hidden="false" customHeight="false" outlineLevel="0" collapsed="false">
      <c r="A75" s="19" t="s">
        <v>29</v>
      </c>
      <c r="B75" s="19" t="s">
        <v>4</v>
      </c>
      <c r="C75" s="19" t="s">
        <v>30</v>
      </c>
      <c r="D75" s="19" t="s">
        <v>744</v>
      </c>
      <c r="E75" s="19" t="s">
        <v>221</v>
      </c>
      <c r="G75" s="19" t="s">
        <v>33</v>
      </c>
      <c r="H75" s="19" t="s">
        <v>47</v>
      </c>
      <c r="I75" s="19" t="s">
        <v>749</v>
      </c>
      <c r="J75" s="19" t="s">
        <v>746</v>
      </c>
      <c r="K75" s="19" t="s">
        <v>747</v>
      </c>
      <c r="L75" s="19" t="s">
        <v>748</v>
      </c>
      <c r="M75" s="19" t="n">
        <v>2013</v>
      </c>
      <c r="N75" s="19" t="n">
        <v>17.16</v>
      </c>
      <c r="O75" s="19" t="n">
        <v>17.16</v>
      </c>
      <c r="P75" s="19" t="n">
        <v>3448</v>
      </c>
      <c r="Q75" s="19" t="n">
        <v>3448</v>
      </c>
      <c r="R75" s="19" t="s">
        <v>39</v>
      </c>
      <c r="S75" s="19" t="s">
        <v>184</v>
      </c>
      <c r="U75" s="19" t="n">
        <v>820000</v>
      </c>
      <c r="V75" s="19" t="n">
        <v>123552</v>
      </c>
      <c r="W75" s="19" t="n">
        <v>68640</v>
      </c>
      <c r="X75" s="19" t="s">
        <v>447</v>
      </c>
      <c r="Y75" s="19" t="n">
        <v>17160</v>
      </c>
      <c r="Z75" s="19" t="n">
        <v>68640</v>
      </c>
      <c r="AA75" s="19" t="n">
        <v>34320</v>
      </c>
      <c r="AC75" s="85" t="n">
        <v>41351</v>
      </c>
      <c r="AD75" s="85" t="n">
        <v>42369</v>
      </c>
      <c r="AE75" s="19" t="n">
        <v>1</v>
      </c>
      <c r="AH75" s="19" t="n">
        <v>0</v>
      </c>
      <c r="AI75" s="19" t="n">
        <v>310000</v>
      </c>
      <c r="AK75" s="85" t="n">
        <v>41801</v>
      </c>
      <c r="AL75" s="85" t="n">
        <v>42294</v>
      </c>
      <c r="AM75" s="19" t="n">
        <v>0.8516</v>
      </c>
      <c r="AR75" s="19" t="s">
        <v>311</v>
      </c>
      <c r="AS75" s="19" t="s">
        <v>364</v>
      </c>
      <c r="AT75" s="19" t="s">
        <v>313</v>
      </c>
      <c r="AV75" s="19" t="n">
        <v>3</v>
      </c>
      <c r="AW75" s="19" t="n">
        <v>3</v>
      </c>
      <c r="AY75" s="19" t="n">
        <v>2023</v>
      </c>
      <c r="AZ75" s="19" t="s">
        <v>457</v>
      </c>
      <c r="BA75" s="19" t="s">
        <v>574</v>
      </c>
      <c r="BB75" s="19" t="n">
        <v>0.68</v>
      </c>
      <c r="BC75" s="85" t="n">
        <v>45554</v>
      </c>
      <c r="BD75" s="19" t="s">
        <v>450</v>
      </c>
    </row>
    <row r="76" customFormat="false" ht="12.8" hidden="false" customHeight="false" outlineLevel="0" collapsed="false">
      <c r="A76" s="19" t="s">
        <v>29</v>
      </c>
      <c r="B76" s="19" t="s">
        <v>4</v>
      </c>
      <c r="C76" s="19" t="s">
        <v>30</v>
      </c>
      <c r="D76" s="19" t="s">
        <v>618</v>
      </c>
      <c r="E76" s="19" t="s">
        <v>750</v>
      </c>
      <c r="G76" s="19" t="s">
        <v>33</v>
      </c>
      <c r="H76" s="19" t="s">
        <v>47</v>
      </c>
      <c r="I76" s="19" t="s">
        <v>751</v>
      </c>
      <c r="J76" s="19" t="s">
        <v>752</v>
      </c>
      <c r="K76" s="19" t="s">
        <v>753</v>
      </c>
      <c r="L76" s="19" t="s">
        <v>754</v>
      </c>
      <c r="M76" s="19" t="n">
        <v>2013</v>
      </c>
      <c r="N76" s="19" t="n">
        <v>1</v>
      </c>
      <c r="O76" s="19" t="n">
        <v>1</v>
      </c>
      <c r="P76" s="19" t="n">
        <v>200</v>
      </c>
      <c r="Q76" s="19" t="n">
        <v>200</v>
      </c>
      <c r="R76" s="19" t="s">
        <v>39</v>
      </c>
      <c r="S76" s="19" t="s">
        <v>184</v>
      </c>
      <c r="T76" s="19" t="s">
        <v>184</v>
      </c>
      <c r="U76" s="19" t="n">
        <v>17000</v>
      </c>
      <c r="V76" s="19" t="n">
        <v>6000</v>
      </c>
      <c r="W76" s="19" t="n">
        <v>4000</v>
      </c>
      <c r="X76" s="19" t="s">
        <v>447</v>
      </c>
      <c r="Y76" s="19" t="n">
        <v>1000</v>
      </c>
      <c r="Z76" s="19" t="n">
        <v>4000</v>
      </c>
      <c r="AA76" s="19" t="n">
        <v>2000</v>
      </c>
      <c r="AC76" s="85" t="n">
        <v>42151</v>
      </c>
      <c r="AD76" s="85" t="n">
        <v>42369</v>
      </c>
      <c r="AE76" s="19" t="n">
        <v>1</v>
      </c>
      <c r="AK76" s="85" t="n">
        <v>41801</v>
      </c>
      <c r="AL76" s="85" t="n">
        <v>42293</v>
      </c>
      <c r="AM76" s="19" t="n">
        <v>0.8518</v>
      </c>
      <c r="AR76" s="19" t="s">
        <v>311</v>
      </c>
      <c r="AS76" s="19" t="s">
        <v>364</v>
      </c>
      <c r="AT76" s="19" t="s">
        <v>313</v>
      </c>
      <c r="AV76" s="19" t="n">
        <v>1</v>
      </c>
      <c r="AW76" s="19" t="n">
        <v>1</v>
      </c>
      <c r="AY76" s="19" t="n">
        <v>2023</v>
      </c>
      <c r="AZ76" s="19" t="s">
        <v>448</v>
      </c>
      <c r="BA76" s="19" t="s">
        <v>449</v>
      </c>
      <c r="BB76" s="19" t="n">
        <v>0.61</v>
      </c>
      <c r="BC76" s="85" t="n">
        <v>45566</v>
      </c>
      <c r="BD76" s="19" t="s">
        <v>450</v>
      </c>
    </row>
    <row r="77" customFormat="false" ht="12.8" hidden="false" customHeight="false" outlineLevel="0" collapsed="false">
      <c r="A77" s="19" t="s">
        <v>29</v>
      </c>
      <c r="B77" s="19" t="s">
        <v>4</v>
      </c>
      <c r="C77" s="19" t="s">
        <v>30</v>
      </c>
      <c r="D77" s="19" t="s">
        <v>618</v>
      </c>
      <c r="E77" s="19" t="s">
        <v>750</v>
      </c>
      <c r="G77" s="19" t="s">
        <v>33</v>
      </c>
      <c r="H77" s="19" t="s">
        <v>47</v>
      </c>
      <c r="I77" s="19" t="s">
        <v>755</v>
      </c>
      <c r="J77" s="19" t="s">
        <v>752</v>
      </c>
      <c r="K77" s="19" t="s">
        <v>753</v>
      </c>
      <c r="L77" s="19" t="s">
        <v>754</v>
      </c>
      <c r="M77" s="19" t="n">
        <v>2013</v>
      </c>
      <c r="N77" s="19" t="n">
        <v>1</v>
      </c>
      <c r="O77" s="19" t="n">
        <v>1</v>
      </c>
      <c r="P77" s="19" t="n">
        <v>200</v>
      </c>
      <c r="Q77" s="19" t="n">
        <v>200</v>
      </c>
      <c r="R77" s="19" t="s">
        <v>39</v>
      </c>
      <c r="S77" s="19" t="s">
        <v>184</v>
      </c>
      <c r="U77" s="19" t="n">
        <v>36000</v>
      </c>
      <c r="V77" s="19" t="n">
        <v>6000</v>
      </c>
      <c r="W77" s="19" t="n">
        <v>4000</v>
      </c>
      <c r="X77" s="19" t="s">
        <v>447</v>
      </c>
      <c r="Y77" s="19" t="n">
        <v>1000</v>
      </c>
      <c r="Z77" s="19" t="n">
        <v>4000</v>
      </c>
      <c r="AA77" s="19" t="n">
        <v>2000</v>
      </c>
      <c r="AB77" s="19" t="n">
        <v>81000</v>
      </c>
      <c r="AC77" s="85" t="n">
        <v>42087</v>
      </c>
      <c r="AD77" s="85" t="n">
        <v>42369</v>
      </c>
      <c r="AE77" s="19" t="n">
        <v>1</v>
      </c>
      <c r="AK77" s="85" t="n">
        <v>42068</v>
      </c>
      <c r="AL77" s="85" t="n">
        <v>42328</v>
      </c>
      <c r="AM77" s="19" t="n">
        <v>0.855</v>
      </c>
      <c r="AR77" s="19" t="s">
        <v>117</v>
      </c>
      <c r="AS77" s="19" t="s">
        <v>117</v>
      </c>
      <c r="AT77" s="19" t="s">
        <v>313</v>
      </c>
      <c r="AV77" s="19" t="n">
        <v>1</v>
      </c>
      <c r="AW77" s="19" t="n">
        <v>1</v>
      </c>
      <c r="AY77" s="19" t="n">
        <v>2023</v>
      </c>
      <c r="AZ77" s="19" t="s">
        <v>490</v>
      </c>
      <c r="BA77" s="19" t="s">
        <v>480</v>
      </c>
      <c r="BB77" s="19" t="n">
        <v>0.105</v>
      </c>
      <c r="BC77" s="85" t="n">
        <v>45566</v>
      </c>
      <c r="BD77" s="19" t="s">
        <v>450</v>
      </c>
    </row>
    <row r="78" customFormat="false" ht="12.8" hidden="false" customHeight="false" outlineLevel="0" collapsed="false">
      <c r="A78" s="19" t="s">
        <v>29</v>
      </c>
      <c r="B78" s="19" t="s">
        <v>4</v>
      </c>
      <c r="C78" s="19" t="s">
        <v>30</v>
      </c>
      <c r="D78" s="19" t="s">
        <v>618</v>
      </c>
      <c r="E78" s="19" t="s">
        <v>750</v>
      </c>
      <c r="G78" s="19" t="s">
        <v>33</v>
      </c>
      <c r="H78" s="19" t="s">
        <v>47</v>
      </c>
      <c r="I78" s="19" t="s">
        <v>756</v>
      </c>
      <c r="J78" s="19" t="s">
        <v>752</v>
      </c>
      <c r="K78" s="19" t="s">
        <v>753</v>
      </c>
      <c r="L78" s="19" t="s">
        <v>754</v>
      </c>
      <c r="M78" s="19" t="n">
        <v>2013</v>
      </c>
      <c r="N78" s="19" t="n">
        <v>3.5</v>
      </c>
      <c r="O78" s="19" t="n">
        <v>3.5</v>
      </c>
      <c r="P78" s="19" t="n">
        <v>700</v>
      </c>
      <c r="Q78" s="19" t="n">
        <v>700</v>
      </c>
      <c r="R78" s="19" t="s">
        <v>39</v>
      </c>
      <c r="S78" s="19" t="s">
        <v>184</v>
      </c>
      <c r="T78" s="19" t="s">
        <v>184</v>
      </c>
      <c r="U78" s="19" t="n">
        <v>18000</v>
      </c>
      <c r="V78" s="19" t="n">
        <v>21000</v>
      </c>
      <c r="W78" s="19" t="n">
        <v>14000</v>
      </c>
      <c r="X78" s="19" t="s">
        <v>447</v>
      </c>
      <c r="Y78" s="19" t="n">
        <v>3500</v>
      </c>
      <c r="Z78" s="19" t="n">
        <v>14000</v>
      </c>
      <c r="AA78" s="19" t="n">
        <v>7000</v>
      </c>
      <c r="AC78" s="85" t="n">
        <v>42148</v>
      </c>
      <c r="AD78" s="85" t="n">
        <v>42369</v>
      </c>
      <c r="AE78" s="19" t="n">
        <v>1</v>
      </c>
      <c r="AK78" s="85" t="n">
        <v>42068</v>
      </c>
      <c r="AL78" s="85" t="n">
        <v>42328</v>
      </c>
      <c r="AM78" s="19" t="n">
        <v>0.86</v>
      </c>
      <c r="AR78" s="19" t="s">
        <v>117</v>
      </c>
      <c r="AS78" s="19" t="s">
        <v>117</v>
      </c>
      <c r="AT78" s="19" t="s">
        <v>313</v>
      </c>
      <c r="AV78" s="19" t="n">
        <v>1</v>
      </c>
      <c r="AW78" s="19" t="n">
        <v>1</v>
      </c>
      <c r="AY78" s="19" t="n">
        <v>2023</v>
      </c>
      <c r="AZ78" s="19" t="s">
        <v>457</v>
      </c>
      <c r="BA78" s="19" t="s">
        <v>480</v>
      </c>
      <c r="BB78" s="19" t="n">
        <v>0.2</v>
      </c>
      <c r="BC78" s="85" t="n">
        <v>45566</v>
      </c>
      <c r="BD78" s="19" t="s">
        <v>450</v>
      </c>
    </row>
    <row r="79" customFormat="false" ht="12.8" hidden="false" customHeight="false" outlineLevel="0" collapsed="false">
      <c r="A79" s="19" t="s">
        <v>29</v>
      </c>
      <c r="B79" s="19" t="s">
        <v>4</v>
      </c>
      <c r="C79" s="19" t="s">
        <v>30</v>
      </c>
      <c r="D79" s="19" t="s">
        <v>618</v>
      </c>
      <c r="E79" s="19" t="s">
        <v>750</v>
      </c>
      <c r="G79" s="19" t="s">
        <v>33</v>
      </c>
      <c r="H79" s="19" t="s">
        <v>47</v>
      </c>
      <c r="I79" s="19" t="s">
        <v>757</v>
      </c>
      <c r="J79" s="19" t="s">
        <v>752</v>
      </c>
      <c r="K79" s="19" t="s">
        <v>753</v>
      </c>
      <c r="L79" s="19" t="s">
        <v>754</v>
      </c>
      <c r="M79" s="19" t="n">
        <v>2013</v>
      </c>
      <c r="N79" s="19" t="n">
        <v>0.5</v>
      </c>
      <c r="O79" s="19" t="n">
        <v>0.5</v>
      </c>
      <c r="P79" s="19" t="n">
        <v>100</v>
      </c>
      <c r="Q79" s="19" t="n">
        <v>100</v>
      </c>
      <c r="R79" s="19" t="s">
        <v>39</v>
      </c>
      <c r="S79" s="19" t="s">
        <v>184</v>
      </c>
      <c r="U79" s="19" t="n">
        <v>27000</v>
      </c>
      <c r="V79" s="19" t="n">
        <v>3000</v>
      </c>
      <c r="W79" s="19" t="n">
        <v>2000</v>
      </c>
      <c r="X79" s="19" t="s">
        <v>447</v>
      </c>
      <c r="Y79" s="19" t="n">
        <v>500</v>
      </c>
      <c r="Z79" s="19" t="n">
        <v>2000</v>
      </c>
      <c r="AA79" s="19" t="n">
        <v>1000</v>
      </c>
      <c r="AC79" s="85" t="n">
        <v>42087</v>
      </c>
      <c r="AD79" s="85" t="n">
        <v>42369</v>
      </c>
      <c r="AE79" s="19" t="n">
        <v>1</v>
      </c>
      <c r="AK79" s="85" t="n">
        <v>42068</v>
      </c>
      <c r="AL79" s="85" t="n">
        <v>42328</v>
      </c>
      <c r="AM79" s="19" t="n">
        <v>0.8614</v>
      </c>
      <c r="AR79" s="19" t="s">
        <v>117</v>
      </c>
      <c r="AS79" s="19" t="s">
        <v>117</v>
      </c>
      <c r="AT79" s="19" t="s">
        <v>313</v>
      </c>
      <c r="AV79" s="19" t="n">
        <v>1</v>
      </c>
      <c r="AW79" s="19" t="n">
        <v>1</v>
      </c>
      <c r="AY79" s="19" t="n">
        <v>2023</v>
      </c>
      <c r="AZ79" s="19" t="s">
        <v>448</v>
      </c>
      <c r="BA79" s="19" t="s">
        <v>480</v>
      </c>
      <c r="BB79" s="19" t="n">
        <v>0.25</v>
      </c>
      <c r="BC79" s="85" t="n">
        <v>45566</v>
      </c>
      <c r="BD79" s="19" t="s">
        <v>450</v>
      </c>
    </row>
    <row r="80" customFormat="false" ht="12.8" hidden="false" customHeight="false" outlineLevel="0" collapsed="false">
      <c r="A80" s="19" t="s">
        <v>29</v>
      </c>
      <c r="B80" s="19" t="s">
        <v>4</v>
      </c>
      <c r="C80" s="19" t="s">
        <v>43</v>
      </c>
      <c r="D80" s="19" t="s">
        <v>758</v>
      </c>
      <c r="E80" s="19" t="s">
        <v>45</v>
      </c>
      <c r="G80" s="19" t="s">
        <v>46</v>
      </c>
      <c r="H80" s="19" t="s">
        <v>47</v>
      </c>
      <c r="I80" s="19" t="s">
        <v>759</v>
      </c>
      <c r="J80" s="19" t="s">
        <v>760</v>
      </c>
      <c r="K80" s="19" t="s">
        <v>761</v>
      </c>
      <c r="L80" s="19" t="s">
        <v>762</v>
      </c>
      <c r="M80" s="19" t="n">
        <v>2013</v>
      </c>
      <c r="N80" s="19" t="n">
        <v>75</v>
      </c>
      <c r="O80" s="19" t="n">
        <v>75</v>
      </c>
      <c r="P80" s="19" t="n">
        <v>75003</v>
      </c>
      <c r="Q80" s="19" t="n">
        <v>75003</v>
      </c>
      <c r="R80" s="19" t="s">
        <v>39</v>
      </c>
      <c r="S80" s="19" t="s">
        <v>717</v>
      </c>
      <c r="T80" s="19" t="s">
        <v>763</v>
      </c>
      <c r="U80" s="19" t="n">
        <v>1264500</v>
      </c>
      <c r="V80" s="19" t="n">
        <v>439500</v>
      </c>
      <c r="W80" s="19" t="n">
        <v>300000</v>
      </c>
      <c r="X80" s="19" t="s">
        <v>447</v>
      </c>
      <c r="Y80" s="19" t="n">
        <v>75000</v>
      </c>
      <c r="Z80" s="19" t="n">
        <v>300000</v>
      </c>
      <c r="AA80" s="19" t="n">
        <v>150000</v>
      </c>
      <c r="AC80" s="85" t="n">
        <v>42087</v>
      </c>
      <c r="AD80" s="85" t="n">
        <v>42369</v>
      </c>
      <c r="AE80" s="19" t="n">
        <v>1</v>
      </c>
      <c r="AK80" s="85" t="n">
        <v>42068</v>
      </c>
      <c r="AL80" s="85" t="n">
        <v>42328</v>
      </c>
      <c r="AR80" s="19" t="s">
        <v>117</v>
      </c>
      <c r="AS80" s="19" t="s">
        <v>117</v>
      </c>
      <c r="AT80" s="19" t="s">
        <v>313</v>
      </c>
      <c r="AV80" s="19" t="n">
        <v>8</v>
      </c>
      <c r="AW80" s="19" t="n">
        <v>8</v>
      </c>
      <c r="AY80" s="19" t="n">
        <v>2023</v>
      </c>
      <c r="AZ80" s="19" t="s">
        <v>535</v>
      </c>
      <c r="BA80" s="19" t="s">
        <v>449</v>
      </c>
      <c r="BB80" s="19" t="n">
        <v>0.126</v>
      </c>
      <c r="BC80" s="85" t="n">
        <v>45533</v>
      </c>
      <c r="BD80" s="19" t="s">
        <v>450</v>
      </c>
    </row>
    <row r="81" customFormat="false" ht="12.8" hidden="false" customHeight="false" outlineLevel="0" collapsed="false">
      <c r="A81" s="19" t="s">
        <v>29</v>
      </c>
      <c r="B81" s="19" t="s">
        <v>4</v>
      </c>
      <c r="C81" s="19" t="s">
        <v>30</v>
      </c>
      <c r="D81" s="19" t="s">
        <v>97</v>
      </c>
      <c r="E81" s="19" t="s">
        <v>79</v>
      </c>
      <c r="G81" s="19" t="s">
        <v>80</v>
      </c>
      <c r="H81" s="19" t="s">
        <v>47</v>
      </c>
      <c r="I81" s="19" t="s">
        <v>764</v>
      </c>
      <c r="J81" s="19" t="s">
        <v>460</v>
      </c>
      <c r="K81" s="19" t="s">
        <v>765</v>
      </c>
      <c r="L81" s="19" t="s">
        <v>766</v>
      </c>
      <c r="M81" s="19" t="n">
        <v>2013</v>
      </c>
      <c r="N81" s="19" t="n">
        <v>100</v>
      </c>
      <c r="O81" s="19" t="n">
        <v>100</v>
      </c>
      <c r="P81" s="19" t="n">
        <v>100000</v>
      </c>
      <c r="Q81" s="19" t="n">
        <v>100000</v>
      </c>
      <c r="R81" s="19" t="s">
        <v>39</v>
      </c>
      <c r="S81" s="19" t="s">
        <v>717</v>
      </c>
      <c r="T81" s="19" t="s">
        <v>763</v>
      </c>
      <c r="U81" s="19" t="n">
        <v>375000</v>
      </c>
      <c r="V81" s="19" t="n">
        <v>586000</v>
      </c>
      <c r="W81" s="19" t="n">
        <v>400000</v>
      </c>
      <c r="X81" s="19" t="s">
        <v>447</v>
      </c>
      <c r="Y81" s="19" t="n">
        <v>100000</v>
      </c>
      <c r="Z81" s="19" t="n">
        <v>400000</v>
      </c>
      <c r="AA81" s="19" t="n">
        <v>200000</v>
      </c>
      <c r="AC81" s="85" t="n">
        <v>42088</v>
      </c>
      <c r="AD81" s="85" t="n">
        <v>42369</v>
      </c>
      <c r="AE81" s="19" t="n">
        <v>1</v>
      </c>
      <c r="AK81" s="85" t="n">
        <v>41801</v>
      </c>
      <c r="AL81" s="85" t="n">
        <v>42327</v>
      </c>
      <c r="AM81" s="19" t="n">
        <v>0.884</v>
      </c>
      <c r="AN81" s="19" t="s">
        <v>767</v>
      </c>
      <c r="AO81" s="19" t="s">
        <v>768</v>
      </c>
      <c r="AR81" s="19" t="s">
        <v>311</v>
      </c>
      <c r="AS81" s="19" t="s">
        <v>312</v>
      </c>
      <c r="AT81" s="19" t="s">
        <v>313</v>
      </c>
      <c r="AV81" s="19" t="n">
        <v>11</v>
      </c>
      <c r="AW81" s="19" t="n">
        <v>11</v>
      </c>
      <c r="AY81" s="19" t="n">
        <v>2023</v>
      </c>
      <c r="AZ81" s="19" t="s">
        <v>476</v>
      </c>
      <c r="BA81" s="19" t="s">
        <v>449</v>
      </c>
      <c r="BB81" s="19" t="n">
        <v>0.1063</v>
      </c>
      <c r="BC81" s="85" t="n">
        <v>45538</v>
      </c>
      <c r="BD81" s="19" t="s">
        <v>450</v>
      </c>
    </row>
    <row r="82" customFormat="false" ht="12.8" hidden="false" customHeight="false" outlineLevel="0" collapsed="false">
      <c r="A82" s="19" t="s">
        <v>29</v>
      </c>
      <c r="B82" s="19" t="s">
        <v>4</v>
      </c>
      <c r="C82" s="19" t="s">
        <v>30</v>
      </c>
      <c r="D82" s="19" t="s">
        <v>595</v>
      </c>
      <c r="E82" s="19" t="s">
        <v>79</v>
      </c>
      <c r="G82" s="19" t="s">
        <v>80</v>
      </c>
      <c r="H82" s="19" t="s">
        <v>47</v>
      </c>
      <c r="I82" s="19" t="s">
        <v>769</v>
      </c>
      <c r="J82" s="19" t="s">
        <v>483</v>
      </c>
      <c r="K82" s="19" t="s">
        <v>484</v>
      </c>
      <c r="L82" s="19" t="s">
        <v>736</v>
      </c>
      <c r="M82" s="19" t="n">
        <v>2013</v>
      </c>
      <c r="N82" s="19" t="n">
        <v>20</v>
      </c>
      <c r="O82" s="19" t="n">
        <v>20</v>
      </c>
      <c r="P82" s="19" t="n">
        <v>8000</v>
      </c>
      <c r="Q82" s="19" t="n">
        <v>8000</v>
      </c>
      <c r="R82" s="19" t="s">
        <v>39</v>
      </c>
      <c r="S82" s="19" t="s">
        <v>770</v>
      </c>
      <c r="T82" s="19" t="s">
        <v>771</v>
      </c>
      <c r="U82" s="19" t="n">
        <v>1400000</v>
      </c>
      <c r="W82" s="19" t="n">
        <v>80000</v>
      </c>
      <c r="X82" s="19" t="s">
        <v>447</v>
      </c>
      <c r="Y82" s="19" t="n">
        <v>20000</v>
      </c>
      <c r="Z82" s="19" t="n">
        <v>80000</v>
      </c>
      <c r="AA82" s="19" t="n">
        <v>40000</v>
      </c>
      <c r="AC82" s="85" t="n">
        <v>42088</v>
      </c>
      <c r="AD82" s="85" t="n">
        <v>42369</v>
      </c>
      <c r="AE82" s="19" t="n">
        <v>1</v>
      </c>
      <c r="AK82" s="85" t="n">
        <v>41478</v>
      </c>
      <c r="AL82" s="85" t="n">
        <v>42292</v>
      </c>
      <c r="AM82" s="19" t="n">
        <v>0.8511</v>
      </c>
      <c r="AN82" s="19" t="s">
        <v>772</v>
      </c>
      <c r="AO82" s="19" t="s">
        <v>773</v>
      </c>
      <c r="AR82" s="19" t="s">
        <v>117</v>
      </c>
      <c r="AS82" s="19" t="s">
        <v>117</v>
      </c>
      <c r="AT82" s="19" t="s">
        <v>313</v>
      </c>
      <c r="AV82" s="19" t="n">
        <v>3</v>
      </c>
      <c r="AW82" s="19" t="n">
        <v>3</v>
      </c>
      <c r="AY82" s="19" t="n">
        <v>2023</v>
      </c>
      <c r="AZ82" s="19" t="s">
        <v>535</v>
      </c>
      <c r="BA82" s="19" t="s">
        <v>449</v>
      </c>
      <c r="BB82" s="19" t="n">
        <v>0.1375</v>
      </c>
      <c r="BC82" s="85" t="n">
        <v>45512</v>
      </c>
      <c r="BD82" s="19" t="s">
        <v>450</v>
      </c>
    </row>
    <row r="83" customFormat="false" ht="12.8" hidden="false" customHeight="false" outlineLevel="0" collapsed="false">
      <c r="A83" s="19" t="s">
        <v>29</v>
      </c>
      <c r="B83" s="19" t="s">
        <v>4</v>
      </c>
      <c r="C83" s="19" t="s">
        <v>30</v>
      </c>
      <c r="D83" s="19" t="s">
        <v>238</v>
      </c>
      <c r="E83" s="19" t="s">
        <v>515</v>
      </c>
      <c r="G83" s="19" t="s">
        <v>33</v>
      </c>
      <c r="H83" s="19" t="s">
        <v>34</v>
      </c>
      <c r="I83" s="19" t="s">
        <v>774</v>
      </c>
      <c r="J83" s="19" t="s">
        <v>683</v>
      </c>
      <c r="K83" s="19" t="s">
        <v>684</v>
      </c>
      <c r="L83" s="19" t="s">
        <v>775</v>
      </c>
      <c r="M83" s="19" t="n">
        <v>2013</v>
      </c>
      <c r="N83" s="19" t="n">
        <v>50</v>
      </c>
      <c r="O83" s="19" t="n">
        <v>50</v>
      </c>
      <c r="P83" s="19" t="n">
        <v>25000</v>
      </c>
      <c r="Q83" s="19" t="n">
        <v>25000</v>
      </c>
      <c r="R83" s="19" t="s">
        <v>39</v>
      </c>
      <c r="S83" s="19" t="s">
        <v>40</v>
      </c>
      <c r="T83" s="19" t="s">
        <v>41</v>
      </c>
      <c r="U83" s="19" t="n">
        <v>400000</v>
      </c>
      <c r="V83" s="19" t="n">
        <v>300000</v>
      </c>
      <c r="W83" s="19" t="n">
        <v>200000</v>
      </c>
      <c r="X83" s="19" t="s">
        <v>447</v>
      </c>
      <c r="Y83" s="19" t="n">
        <v>50000</v>
      </c>
      <c r="Z83" s="19" t="n">
        <v>200000</v>
      </c>
      <c r="AA83" s="19" t="n">
        <v>100000</v>
      </c>
      <c r="AC83" s="85" t="n">
        <v>42101</v>
      </c>
      <c r="AD83" s="85" t="n">
        <v>42369</v>
      </c>
      <c r="AE83" s="19" t="n">
        <v>1</v>
      </c>
      <c r="AH83" s="19" t="n">
        <v>0</v>
      </c>
      <c r="AI83" s="19" t="n">
        <v>100000</v>
      </c>
      <c r="AK83" s="85" t="n">
        <v>42068</v>
      </c>
      <c r="AM83" s="19" t="n">
        <v>0.8502</v>
      </c>
      <c r="AN83" s="19" t="s">
        <v>776</v>
      </c>
      <c r="AO83" s="19" t="s">
        <v>777</v>
      </c>
      <c r="AR83" s="19" t="s">
        <v>311</v>
      </c>
      <c r="AS83" s="19" t="s">
        <v>312</v>
      </c>
      <c r="AT83" s="19" t="s">
        <v>313</v>
      </c>
      <c r="AV83" s="19" t="n">
        <v>6</v>
      </c>
      <c r="AW83" s="19" t="n">
        <v>6</v>
      </c>
      <c r="AY83" s="19" t="n">
        <v>2023</v>
      </c>
      <c r="AZ83" s="19" t="s">
        <v>476</v>
      </c>
      <c r="BA83" s="19" t="s">
        <v>449</v>
      </c>
      <c r="BB83" s="19" t="n">
        <v>0.445</v>
      </c>
      <c r="BC83" s="85" t="n">
        <v>45561</v>
      </c>
      <c r="BD83" s="19" t="s">
        <v>450</v>
      </c>
    </row>
    <row r="84" customFormat="false" ht="12.8" hidden="false" customHeight="false" outlineLevel="0" collapsed="false">
      <c r="A84" s="19" t="s">
        <v>29</v>
      </c>
      <c r="B84" s="19" t="s">
        <v>4</v>
      </c>
      <c r="C84" s="19" t="s">
        <v>30</v>
      </c>
      <c r="D84" s="19" t="s">
        <v>695</v>
      </c>
      <c r="E84" s="19" t="s">
        <v>32</v>
      </c>
      <c r="G84" s="19" t="s">
        <v>33</v>
      </c>
      <c r="H84" s="19" t="s">
        <v>47</v>
      </c>
      <c r="I84" s="19" t="s">
        <v>778</v>
      </c>
      <c r="J84" s="19" t="s">
        <v>36</v>
      </c>
      <c r="K84" s="19" t="s">
        <v>504</v>
      </c>
      <c r="L84" s="19" t="s">
        <v>779</v>
      </c>
      <c r="M84" s="19" t="n">
        <v>2013</v>
      </c>
      <c r="N84" s="19" t="n">
        <v>90</v>
      </c>
      <c r="O84" s="19" t="n">
        <v>90</v>
      </c>
      <c r="P84" s="19" t="n">
        <v>36000</v>
      </c>
      <c r="Q84" s="19" t="n">
        <v>36000</v>
      </c>
      <c r="R84" s="19" t="s">
        <v>39</v>
      </c>
      <c r="S84" s="19" t="s">
        <v>508</v>
      </c>
      <c r="T84" s="19" t="s">
        <v>508</v>
      </c>
      <c r="U84" s="19" t="n">
        <v>440000</v>
      </c>
      <c r="V84" s="19" t="n">
        <v>604794.6</v>
      </c>
      <c r="W84" s="19" t="n">
        <v>360000</v>
      </c>
      <c r="X84" s="19" t="s">
        <v>447</v>
      </c>
      <c r="Y84" s="19" t="n">
        <v>90000</v>
      </c>
      <c r="Z84" s="19" t="n">
        <v>360000</v>
      </c>
      <c r="AA84" s="19" t="n">
        <v>180000</v>
      </c>
      <c r="AC84" s="85" t="n">
        <v>42088</v>
      </c>
      <c r="AD84" s="85" t="n">
        <v>42369</v>
      </c>
      <c r="AE84" s="19" t="n">
        <v>1</v>
      </c>
      <c r="AH84" s="19" t="n">
        <v>0</v>
      </c>
      <c r="AI84" s="19" t="n">
        <v>440000</v>
      </c>
      <c r="AK84" s="85" t="n">
        <v>42068</v>
      </c>
      <c r="AM84" s="19" t="n">
        <v>0.8862</v>
      </c>
      <c r="AR84" s="19" t="s">
        <v>117</v>
      </c>
      <c r="AS84" s="19" t="s">
        <v>117</v>
      </c>
      <c r="AT84" s="19" t="s">
        <v>313</v>
      </c>
      <c r="AV84" s="19" t="n">
        <v>10</v>
      </c>
      <c r="AW84" s="19" t="n">
        <v>10</v>
      </c>
      <c r="AY84" s="19" t="n">
        <v>2023</v>
      </c>
      <c r="AZ84" s="19" t="s">
        <v>490</v>
      </c>
      <c r="BA84" s="19" t="s">
        <v>480</v>
      </c>
      <c r="BB84" s="19" t="n">
        <v>0.0353</v>
      </c>
      <c r="BC84" s="85" t="n">
        <v>45494</v>
      </c>
      <c r="BD84" s="19" t="s">
        <v>450</v>
      </c>
    </row>
    <row r="85" customFormat="false" ht="12.8" hidden="false" customHeight="false" outlineLevel="0" collapsed="false">
      <c r="A85" s="19" t="s">
        <v>29</v>
      </c>
      <c r="B85" s="19" t="s">
        <v>4</v>
      </c>
      <c r="C85" s="19" t="s">
        <v>30</v>
      </c>
      <c r="D85" s="19" t="s">
        <v>31</v>
      </c>
      <c r="E85" s="19" t="s">
        <v>32</v>
      </c>
      <c r="G85" s="19" t="s">
        <v>33</v>
      </c>
      <c r="H85" s="19" t="s">
        <v>314</v>
      </c>
      <c r="I85" s="19" t="s">
        <v>780</v>
      </c>
      <c r="J85" s="19" t="s">
        <v>36</v>
      </c>
      <c r="K85" s="19" t="s">
        <v>504</v>
      </c>
      <c r="L85" s="19" t="s">
        <v>781</v>
      </c>
      <c r="M85" s="19" t="n">
        <v>2013</v>
      </c>
      <c r="N85" s="19" t="n">
        <v>5.2</v>
      </c>
      <c r="O85" s="19" t="n">
        <v>5.2</v>
      </c>
      <c r="P85" s="19" t="n">
        <v>1040</v>
      </c>
      <c r="Q85" s="19" t="n">
        <v>1040</v>
      </c>
      <c r="R85" s="19" t="s">
        <v>39</v>
      </c>
      <c r="S85" s="19" t="s">
        <v>184</v>
      </c>
      <c r="T85" s="19" t="s">
        <v>184</v>
      </c>
      <c r="U85" s="19" t="n">
        <v>1968000</v>
      </c>
      <c r="V85" s="19" t="n">
        <v>31200</v>
      </c>
      <c r="W85" s="19" t="n">
        <v>20800</v>
      </c>
      <c r="X85" s="19" t="s">
        <v>447</v>
      </c>
      <c r="Y85" s="19" t="n">
        <v>5200</v>
      </c>
      <c r="Z85" s="19" t="n">
        <v>20800</v>
      </c>
      <c r="AA85" s="19" t="n">
        <v>10400</v>
      </c>
      <c r="AC85" s="85" t="n">
        <v>42088</v>
      </c>
      <c r="AD85" s="85" t="n">
        <v>42369</v>
      </c>
      <c r="AE85" s="19" t="n">
        <v>1</v>
      </c>
      <c r="AK85" s="85" t="n">
        <v>42068</v>
      </c>
      <c r="AM85" s="19" t="n">
        <v>0.8865</v>
      </c>
      <c r="AR85" s="19" t="s">
        <v>117</v>
      </c>
      <c r="AS85" s="19" t="s">
        <v>117</v>
      </c>
      <c r="AT85" s="19" t="s">
        <v>313</v>
      </c>
      <c r="AV85" s="19" t="n">
        <v>1</v>
      </c>
      <c r="AW85" s="19" t="n">
        <v>1</v>
      </c>
      <c r="AY85" s="19" t="n">
        <v>2023</v>
      </c>
      <c r="AZ85" s="19" t="s">
        <v>535</v>
      </c>
      <c r="BA85" s="19" t="s">
        <v>480</v>
      </c>
      <c r="BB85" s="19" t="n">
        <v>0.59</v>
      </c>
      <c r="BC85" s="85" t="n">
        <v>45491</v>
      </c>
      <c r="BD85" s="19" t="s">
        <v>450</v>
      </c>
    </row>
    <row r="86" customFormat="false" ht="12.8" hidden="false" customHeight="false" outlineLevel="0" collapsed="false">
      <c r="A86" s="19" t="s">
        <v>29</v>
      </c>
      <c r="B86" s="19" t="s">
        <v>4</v>
      </c>
      <c r="C86" s="19" t="s">
        <v>30</v>
      </c>
      <c r="D86" s="19" t="s">
        <v>31</v>
      </c>
      <c r="E86" s="19" t="s">
        <v>32</v>
      </c>
      <c r="G86" s="19" t="s">
        <v>33</v>
      </c>
      <c r="H86" s="19" t="s">
        <v>314</v>
      </c>
      <c r="I86" s="19" t="s">
        <v>782</v>
      </c>
      <c r="J86" s="19" t="s">
        <v>36</v>
      </c>
      <c r="K86" s="19" t="s">
        <v>504</v>
      </c>
      <c r="L86" s="19" t="s">
        <v>783</v>
      </c>
      <c r="M86" s="19" t="n">
        <v>2013</v>
      </c>
      <c r="N86" s="19" t="n">
        <v>100</v>
      </c>
      <c r="O86" s="19" t="n">
        <v>100</v>
      </c>
      <c r="P86" s="19" t="n">
        <v>50000</v>
      </c>
      <c r="Q86" s="19" t="n">
        <v>50000</v>
      </c>
      <c r="R86" s="19" t="s">
        <v>39</v>
      </c>
      <c r="S86" s="19" t="s">
        <v>40</v>
      </c>
      <c r="T86" s="19" t="s">
        <v>41</v>
      </c>
      <c r="U86" s="19" t="n">
        <v>384000</v>
      </c>
      <c r="V86" s="19" t="n">
        <v>300000</v>
      </c>
      <c r="W86" s="19" t="n">
        <v>400000</v>
      </c>
      <c r="X86" s="19" t="s">
        <v>447</v>
      </c>
      <c r="Y86" s="19" t="n">
        <v>100000</v>
      </c>
      <c r="Z86" s="19" t="n">
        <v>400000</v>
      </c>
      <c r="AA86" s="19" t="n">
        <v>200000</v>
      </c>
      <c r="AC86" s="85" t="n">
        <v>42088</v>
      </c>
      <c r="AD86" s="85" t="n">
        <v>42369</v>
      </c>
      <c r="AE86" s="19" t="n">
        <v>1</v>
      </c>
      <c r="AK86" s="85" t="n">
        <v>41342</v>
      </c>
      <c r="AM86" s="19" t="n">
        <v>0.8993</v>
      </c>
      <c r="AN86" s="19" t="s">
        <v>784</v>
      </c>
      <c r="AO86" s="19" t="s">
        <v>785</v>
      </c>
      <c r="AR86" s="19" t="s">
        <v>311</v>
      </c>
      <c r="AS86" s="19" t="s">
        <v>312</v>
      </c>
      <c r="AT86" s="19" t="s">
        <v>313</v>
      </c>
      <c r="AV86" s="19" t="n">
        <v>11</v>
      </c>
      <c r="AW86" s="19" t="n">
        <v>11</v>
      </c>
      <c r="AY86" s="19" t="n">
        <v>2023</v>
      </c>
      <c r="AZ86" s="19" t="s">
        <v>490</v>
      </c>
      <c r="BA86" s="19" t="s">
        <v>480</v>
      </c>
      <c r="BB86" s="19" t="n">
        <v>0.0129</v>
      </c>
      <c r="BC86" s="85" t="n">
        <v>45507</v>
      </c>
      <c r="BD86" s="19" t="s">
        <v>450</v>
      </c>
    </row>
    <row r="87" customFormat="false" ht="12.8" hidden="false" customHeight="false" outlineLevel="0" collapsed="false">
      <c r="A87" s="19" t="s">
        <v>29</v>
      </c>
      <c r="B87" s="19" t="s">
        <v>4</v>
      </c>
      <c r="C87" s="19" t="s">
        <v>30</v>
      </c>
      <c r="D87" s="19" t="s">
        <v>31</v>
      </c>
      <c r="E87" s="19" t="s">
        <v>32</v>
      </c>
      <c r="G87" s="19" t="s">
        <v>33</v>
      </c>
      <c r="H87" s="19" t="s">
        <v>314</v>
      </c>
      <c r="I87" s="19" t="s">
        <v>786</v>
      </c>
      <c r="J87" s="19" t="s">
        <v>36</v>
      </c>
      <c r="K87" s="19" t="s">
        <v>504</v>
      </c>
      <c r="L87" s="19" t="s">
        <v>787</v>
      </c>
      <c r="M87" s="19" t="n">
        <v>2013</v>
      </c>
      <c r="N87" s="19" t="n">
        <v>25</v>
      </c>
      <c r="O87" s="19" t="n">
        <v>25</v>
      </c>
      <c r="P87" s="19" t="n">
        <v>12500</v>
      </c>
      <c r="Q87" s="19" t="n">
        <v>12500</v>
      </c>
      <c r="R87" s="19" t="s">
        <v>39</v>
      </c>
      <c r="S87" s="19" t="s">
        <v>93</v>
      </c>
      <c r="T87" s="19" t="s">
        <v>737</v>
      </c>
      <c r="U87" s="19" t="n">
        <v>95833</v>
      </c>
      <c r="V87" s="19" t="n">
        <v>250000</v>
      </c>
      <c r="W87" s="19" t="n">
        <v>100000</v>
      </c>
      <c r="X87" s="19" t="s">
        <v>447</v>
      </c>
      <c r="Y87" s="19" t="n">
        <v>25000</v>
      </c>
      <c r="Z87" s="19" t="n">
        <v>100000</v>
      </c>
      <c r="AA87" s="19" t="n">
        <v>50000</v>
      </c>
      <c r="AC87" s="85" t="n">
        <v>42088</v>
      </c>
      <c r="AD87" s="85" t="n">
        <v>42369</v>
      </c>
      <c r="AE87" s="19" t="n">
        <v>1</v>
      </c>
      <c r="AK87" s="85" t="n">
        <v>42068</v>
      </c>
      <c r="AM87" s="19" t="n">
        <v>0.89</v>
      </c>
      <c r="AN87" s="19" t="s">
        <v>788</v>
      </c>
      <c r="AO87" s="19" t="s">
        <v>789</v>
      </c>
      <c r="AR87" s="19" t="s">
        <v>311</v>
      </c>
      <c r="AS87" s="19" t="s">
        <v>312</v>
      </c>
      <c r="AT87" s="19" t="s">
        <v>313</v>
      </c>
      <c r="AV87" s="19" t="n">
        <v>3</v>
      </c>
      <c r="AW87" s="19" t="n">
        <v>3</v>
      </c>
      <c r="AY87" s="19" t="n">
        <v>2023</v>
      </c>
      <c r="AZ87" s="19" t="s">
        <v>448</v>
      </c>
      <c r="BA87" s="19" t="s">
        <v>449</v>
      </c>
      <c r="BB87" s="19" t="n">
        <v>0.112</v>
      </c>
      <c r="BC87" s="85" t="n">
        <v>45491</v>
      </c>
      <c r="BD87" s="19" t="s">
        <v>450</v>
      </c>
    </row>
    <row r="88" customFormat="false" ht="12.8" hidden="false" customHeight="false" outlineLevel="0" collapsed="false">
      <c r="A88" s="19" t="s">
        <v>29</v>
      </c>
      <c r="B88" s="19" t="s">
        <v>4</v>
      </c>
      <c r="C88" s="19" t="s">
        <v>30</v>
      </c>
      <c r="D88" s="19" t="s">
        <v>151</v>
      </c>
      <c r="E88" s="19" t="s">
        <v>32</v>
      </c>
      <c r="G88" s="19" t="s">
        <v>33</v>
      </c>
      <c r="H88" s="19" t="s">
        <v>47</v>
      </c>
      <c r="I88" s="19" t="s">
        <v>790</v>
      </c>
      <c r="J88" s="19" t="s">
        <v>791</v>
      </c>
      <c r="K88" s="19" t="s">
        <v>320</v>
      </c>
      <c r="L88" s="19" t="s">
        <v>792</v>
      </c>
      <c r="M88" s="19" t="n">
        <v>2013</v>
      </c>
      <c r="N88" s="19" t="n">
        <v>50</v>
      </c>
      <c r="O88" s="19" t="n">
        <v>50</v>
      </c>
      <c r="P88" s="19" t="n">
        <v>25000</v>
      </c>
      <c r="Q88" s="19" t="n">
        <v>25000</v>
      </c>
      <c r="R88" s="19" t="s">
        <v>39</v>
      </c>
      <c r="S88" s="19" t="s">
        <v>93</v>
      </c>
      <c r="T88" s="19" t="s">
        <v>737</v>
      </c>
      <c r="U88" s="19" t="n">
        <v>1450000</v>
      </c>
      <c r="V88" s="19" t="n">
        <v>500000</v>
      </c>
      <c r="W88" s="19" t="n">
        <v>200000</v>
      </c>
      <c r="X88" s="19" t="s">
        <v>447</v>
      </c>
      <c r="Y88" s="19" t="n">
        <v>50000</v>
      </c>
      <c r="Z88" s="19" t="n">
        <v>200000</v>
      </c>
      <c r="AA88" s="19" t="n">
        <v>100000</v>
      </c>
      <c r="AC88" s="85" t="n">
        <v>42088</v>
      </c>
      <c r="AD88" s="85" t="n">
        <v>42369</v>
      </c>
      <c r="AE88" s="19" t="n">
        <v>1</v>
      </c>
      <c r="AH88" s="19" t="n">
        <v>0</v>
      </c>
      <c r="AI88" s="19" t="n">
        <v>1450000</v>
      </c>
      <c r="AK88" s="85" t="n">
        <v>42068</v>
      </c>
      <c r="AL88" s="85" t="n">
        <v>42326</v>
      </c>
      <c r="AM88" s="19" t="n">
        <v>0.8577</v>
      </c>
      <c r="AR88" s="19" t="s">
        <v>325</v>
      </c>
      <c r="AS88" s="19" t="s">
        <v>793</v>
      </c>
      <c r="AT88" s="19" t="s">
        <v>313</v>
      </c>
      <c r="AV88" s="19" t="n">
        <v>6</v>
      </c>
      <c r="AW88" s="19" t="n">
        <v>6</v>
      </c>
      <c r="AY88" s="19" t="n">
        <v>2023</v>
      </c>
      <c r="AZ88" s="19" t="s">
        <v>476</v>
      </c>
      <c r="BA88" s="19" t="s">
        <v>480</v>
      </c>
      <c r="BB88" s="19" t="n">
        <v>0.083</v>
      </c>
      <c r="BC88" s="85" t="n">
        <v>45547</v>
      </c>
      <c r="BD88" s="19" t="s">
        <v>450</v>
      </c>
    </row>
    <row r="89" customFormat="false" ht="12.8" hidden="false" customHeight="false" outlineLevel="0" collapsed="false">
      <c r="A89" s="19" t="s">
        <v>29</v>
      </c>
      <c r="B89" s="19" t="s">
        <v>4</v>
      </c>
      <c r="C89" s="19" t="s">
        <v>30</v>
      </c>
      <c r="D89" s="19" t="s">
        <v>151</v>
      </c>
      <c r="E89" s="19" t="s">
        <v>32</v>
      </c>
      <c r="G89" s="19" t="s">
        <v>33</v>
      </c>
      <c r="H89" s="19" t="s">
        <v>47</v>
      </c>
      <c r="I89" s="19" t="s">
        <v>794</v>
      </c>
      <c r="J89" s="19" t="s">
        <v>791</v>
      </c>
      <c r="K89" s="19" t="s">
        <v>320</v>
      </c>
      <c r="L89" s="19" t="s">
        <v>792</v>
      </c>
      <c r="M89" s="19" t="n">
        <v>2013</v>
      </c>
      <c r="N89" s="19" t="n">
        <v>200</v>
      </c>
      <c r="O89" s="19" t="n">
        <v>200</v>
      </c>
      <c r="P89" s="19" t="n">
        <v>200000</v>
      </c>
      <c r="Q89" s="19" t="n">
        <v>200000</v>
      </c>
      <c r="R89" s="19" t="s">
        <v>39</v>
      </c>
      <c r="S89" s="19" t="s">
        <v>717</v>
      </c>
      <c r="T89" s="19" t="s">
        <v>763</v>
      </c>
      <c r="U89" s="19" t="n">
        <v>3372000</v>
      </c>
      <c r="V89" s="19" t="n">
        <v>1172000</v>
      </c>
      <c r="W89" s="19" t="n">
        <v>800000</v>
      </c>
      <c r="X89" s="19" t="s">
        <v>447</v>
      </c>
      <c r="Y89" s="19" t="n">
        <v>200000</v>
      </c>
      <c r="Z89" s="19" t="n">
        <v>800000</v>
      </c>
      <c r="AA89" s="19" t="n">
        <v>400000</v>
      </c>
      <c r="AC89" s="85" t="n">
        <v>42088</v>
      </c>
      <c r="AD89" s="85" t="n">
        <v>42369</v>
      </c>
      <c r="AE89" s="19" t="n">
        <v>1</v>
      </c>
      <c r="AH89" s="19" t="n">
        <v>0</v>
      </c>
      <c r="AI89" s="19" t="n">
        <v>0</v>
      </c>
      <c r="AK89" s="85" t="n">
        <v>42068</v>
      </c>
      <c r="AM89" s="19" t="n">
        <v>0.8533</v>
      </c>
      <c r="AR89" s="19" t="s">
        <v>325</v>
      </c>
      <c r="AS89" s="19" t="s">
        <v>793</v>
      </c>
      <c r="AT89" s="19" t="s">
        <v>313</v>
      </c>
      <c r="AV89" s="19" t="n">
        <v>21</v>
      </c>
      <c r="AW89" s="19" t="n">
        <v>21</v>
      </c>
      <c r="AY89" s="19" t="n">
        <v>2023</v>
      </c>
      <c r="AZ89" s="19" t="s">
        <v>476</v>
      </c>
      <c r="BA89" s="19" t="s">
        <v>480</v>
      </c>
      <c r="BB89" s="19" t="n">
        <v>0.0472</v>
      </c>
      <c r="BC89" s="85" t="n">
        <v>45552</v>
      </c>
      <c r="BD89" s="19" t="s">
        <v>450</v>
      </c>
    </row>
    <row r="90" customFormat="false" ht="12.8" hidden="false" customHeight="false" outlineLevel="0" collapsed="false">
      <c r="A90" s="19" t="s">
        <v>29</v>
      </c>
      <c r="B90" s="19" t="s">
        <v>4</v>
      </c>
      <c r="C90" s="19" t="s">
        <v>30</v>
      </c>
      <c r="D90" s="19" t="s">
        <v>204</v>
      </c>
      <c r="E90" s="19" t="s">
        <v>32</v>
      </c>
      <c r="G90" s="19" t="s">
        <v>33</v>
      </c>
      <c r="H90" s="19" t="s">
        <v>47</v>
      </c>
      <c r="I90" s="19" t="s">
        <v>795</v>
      </c>
      <c r="J90" s="19" t="s">
        <v>796</v>
      </c>
      <c r="K90" s="19" t="s">
        <v>337</v>
      </c>
      <c r="L90" s="19" t="s">
        <v>797</v>
      </c>
      <c r="M90" s="19" t="n">
        <v>2013</v>
      </c>
      <c r="N90" s="19" t="n">
        <v>161</v>
      </c>
      <c r="O90" s="19" t="n">
        <v>161</v>
      </c>
      <c r="P90" s="19" t="n">
        <v>161000</v>
      </c>
      <c r="Q90" s="19" t="n">
        <v>161000</v>
      </c>
      <c r="R90" s="19" t="s">
        <v>39</v>
      </c>
      <c r="S90" s="19" t="s">
        <v>717</v>
      </c>
      <c r="T90" s="19" t="s">
        <v>763</v>
      </c>
      <c r="U90" s="19" t="n">
        <v>2158000</v>
      </c>
      <c r="V90" s="19" t="n">
        <v>943460</v>
      </c>
      <c r="W90" s="19" t="n">
        <v>644000</v>
      </c>
      <c r="X90" s="19" t="s">
        <v>447</v>
      </c>
      <c r="Y90" s="19" t="n">
        <v>161000</v>
      </c>
      <c r="Z90" s="19" t="n">
        <v>644000</v>
      </c>
      <c r="AA90" s="19" t="n">
        <v>322000</v>
      </c>
      <c r="AC90" s="85" t="n">
        <v>42108</v>
      </c>
      <c r="AD90" s="85" t="n">
        <v>42369</v>
      </c>
      <c r="AE90" s="19" t="n">
        <v>1</v>
      </c>
      <c r="AH90" s="19" t="n">
        <v>0</v>
      </c>
      <c r="AI90" s="19" t="n">
        <v>322000</v>
      </c>
      <c r="AK90" s="85" t="n">
        <v>42050</v>
      </c>
      <c r="AM90" s="19" t="n">
        <v>0.852</v>
      </c>
      <c r="AR90" s="19" t="s">
        <v>325</v>
      </c>
      <c r="AS90" s="19" t="s">
        <v>798</v>
      </c>
      <c r="AT90" s="19" t="s">
        <v>313</v>
      </c>
      <c r="AV90" s="19" t="n">
        <v>17</v>
      </c>
      <c r="AW90" s="19" t="n">
        <v>17</v>
      </c>
      <c r="AY90" s="19" t="n">
        <v>2023</v>
      </c>
      <c r="AZ90" s="19" t="s">
        <v>457</v>
      </c>
      <c r="BA90" s="19" t="s">
        <v>501</v>
      </c>
      <c r="BB90" s="19" t="n">
        <v>0.4516</v>
      </c>
      <c r="BC90" s="85" t="n">
        <v>45471</v>
      </c>
      <c r="BD90" s="19" t="s">
        <v>450</v>
      </c>
    </row>
    <row r="91" customFormat="false" ht="12.8" hidden="false" customHeight="false" outlineLevel="0" collapsed="false">
      <c r="A91" s="19" t="s">
        <v>29</v>
      </c>
      <c r="B91" s="19" t="s">
        <v>4</v>
      </c>
      <c r="C91" s="19" t="s">
        <v>30</v>
      </c>
      <c r="D91" s="19" t="s">
        <v>151</v>
      </c>
      <c r="E91" s="19" t="s">
        <v>32</v>
      </c>
      <c r="G91" s="19" t="s">
        <v>33</v>
      </c>
      <c r="H91" s="19" t="s">
        <v>47</v>
      </c>
      <c r="I91" s="19" t="s">
        <v>799</v>
      </c>
      <c r="J91" s="19" t="s">
        <v>791</v>
      </c>
      <c r="K91" s="19" t="s">
        <v>320</v>
      </c>
      <c r="L91" s="19" t="s">
        <v>792</v>
      </c>
      <c r="M91" s="19" t="n">
        <v>2013</v>
      </c>
      <c r="N91" s="19" t="n">
        <v>40</v>
      </c>
      <c r="O91" s="19" t="n">
        <v>40</v>
      </c>
      <c r="P91" s="19" t="n">
        <v>40000</v>
      </c>
      <c r="Q91" s="19" t="n">
        <v>40000</v>
      </c>
      <c r="R91" s="19" t="s">
        <v>39</v>
      </c>
      <c r="S91" s="19" t="s">
        <v>717</v>
      </c>
      <c r="T91" s="19" t="s">
        <v>800</v>
      </c>
      <c r="U91" s="19" t="n">
        <v>674400</v>
      </c>
      <c r="V91" s="19" t="n">
        <v>234400</v>
      </c>
      <c r="W91" s="19" t="n">
        <v>160000</v>
      </c>
      <c r="X91" s="19" t="s">
        <v>447</v>
      </c>
      <c r="Y91" s="19" t="n">
        <v>40000</v>
      </c>
      <c r="Z91" s="19" t="n">
        <v>160000</v>
      </c>
      <c r="AA91" s="19" t="n">
        <v>80000</v>
      </c>
      <c r="AC91" s="85" t="n">
        <v>42088</v>
      </c>
      <c r="AD91" s="85" t="n">
        <v>42369</v>
      </c>
      <c r="AE91" s="19" t="n">
        <v>1</v>
      </c>
      <c r="AK91" s="85" t="n">
        <v>42068</v>
      </c>
      <c r="AL91" s="85" t="n">
        <v>42325</v>
      </c>
      <c r="AM91" s="19" t="n">
        <v>0.8512</v>
      </c>
      <c r="AR91" s="19" t="s">
        <v>325</v>
      </c>
      <c r="AS91" s="19" t="s">
        <v>793</v>
      </c>
      <c r="AT91" s="19" t="s">
        <v>313</v>
      </c>
      <c r="AV91" s="19" t="n">
        <v>5</v>
      </c>
      <c r="AW91" s="19" t="n">
        <v>5</v>
      </c>
      <c r="AY91" s="19" t="n">
        <v>2023</v>
      </c>
      <c r="AZ91" s="19" t="s">
        <v>476</v>
      </c>
      <c r="BA91" s="19" t="s">
        <v>480</v>
      </c>
      <c r="BB91" s="19" t="n">
        <v>0.0568</v>
      </c>
      <c r="BC91" s="85" t="n">
        <v>45547</v>
      </c>
      <c r="BD91" s="19" t="s">
        <v>450</v>
      </c>
    </row>
    <row r="92" customFormat="false" ht="147" hidden="false" customHeight="false" outlineLevel="0" collapsed="false">
      <c r="A92" s="19" t="s">
        <v>29</v>
      </c>
      <c r="B92" s="19" t="s">
        <v>4</v>
      </c>
      <c r="C92" s="19" t="s">
        <v>30</v>
      </c>
      <c r="D92" s="19" t="s">
        <v>85</v>
      </c>
      <c r="E92" s="19" t="s">
        <v>73</v>
      </c>
      <c r="G92" s="19" t="s">
        <v>33</v>
      </c>
      <c r="H92" s="19" t="s">
        <v>47</v>
      </c>
      <c r="I92" s="19" t="s">
        <v>801</v>
      </c>
      <c r="J92" s="19" t="s">
        <v>802</v>
      </c>
      <c r="K92" s="19" t="s">
        <v>803</v>
      </c>
      <c r="L92" s="19" t="s">
        <v>804</v>
      </c>
      <c r="M92" s="19" t="n">
        <v>2013</v>
      </c>
      <c r="N92" s="19" t="n">
        <v>110</v>
      </c>
      <c r="O92" s="19" t="n">
        <v>110</v>
      </c>
      <c r="P92" s="19" t="n">
        <v>110000</v>
      </c>
      <c r="Q92" s="19" t="n">
        <v>110000</v>
      </c>
      <c r="R92" s="19" t="s">
        <v>39</v>
      </c>
      <c r="S92" s="19" t="s">
        <v>717</v>
      </c>
      <c r="T92" s="19" t="s">
        <v>763</v>
      </c>
      <c r="U92" s="19" t="n">
        <v>1194600</v>
      </c>
      <c r="V92" s="19" t="n">
        <v>644600</v>
      </c>
      <c r="W92" s="19" t="n">
        <v>440000</v>
      </c>
      <c r="X92" s="19" t="s">
        <v>447</v>
      </c>
      <c r="Y92" s="19" t="n">
        <v>110000</v>
      </c>
      <c r="Z92" s="19" t="n">
        <v>440000</v>
      </c>
      <c r="AA92" s="19" t="n">
        <v>220000</v>
      </c>
      <c r="AC92" s="85" t="n">
        <v>42088</v>
      </c>
      <c r="AD92" s="85" t="n">
        <v>42369</v>
      </c>
      <c r="AE92" s="19" t="n">
        <v>1</v>
      </c>
      <c r="AK92" s="85" t="n">
        <v>41801</v>
      </c>
      <c r="AL92" s="85" t="n">
        <v>42304</v>
      </c>
      <c r="AM92" s="19" t="n">
        <v>8.7396</v>
      </c>
      <c r="AN92" s="84" t="s">
        <v>805</v>
      </c>
      <c r="AO92" s="19" t="s">
        <v>806</v>
      </c>
      <c r="AP92" s="19" t="s">
        <v>336</v>
      </c>
      <c r="AR92" s="19" t="s">
        <v>325</v>
      </c>
      <c r="AS92" s="19" t="s">
        <v>807</v>
      </c>
      <c r="AT92" s="19" t="s">
        <v>313</v>
      </c>
      <c r="AV92" s="19" t="n">
        <v>12</v>
      </c>
      <c r="AW92" s="19" t="n">
        <v>12</v>
      </c>
      <c r="AY92" s="19" t="n">
        <v>2023</v>
      </c>
      <c r="AZ92" s="19" t="s">
        <v>457</v>
      </c>
      <c r="BA92" s="19" t="s">
        <v>501</v>
      </c>
      <c r="BB92" s="19" t="n">
        <v>0.7701</v>
      </c>
      <c r="BC92" s="85" t="n">
        <v>45427</v>
      </c>
      <c r="BD92" s="19" t="s">
        <v>450</v>
      </c>
    </row>
    <row r="93" customFormat="false" ht="12.8" hidden="false" customHeight="false" outlineLevel="0" collapsed="false">
      <c r="A93" s="19" t="s">
        <v>29</v>
      </c>
      <c r="B93" s="19" t="s">
        <v>4</v>
      </c>
      <c r="C93" s="19" t="s">
        <v>30</v>
      </c>
      <c r="D93" s="19" t="s">
        <v>66</v>
      </c>
      <c r="E93" s="19" t="s">
        <v>515</v>
      </c>
      <c r="G93" s="19" t="s">
        <v>33</v>
      </c>
      <c r="H93" s="19" t="s">
        <v>47</v>
      </c>
      <c r="I93" s="19" t="s">
        <v>808</v>
      </c>
      <c r="J93" s="19" t="s">
        <v>69</v>
      </c>
      <c r="K93" s="19" t="s">
        <v>70</v>
      </c>
      <c r="L93" s="19" t="s">
        <v>809</v>
      </c>
      <c r="M93" s="19" t="n">
        <v>2013</v>
      </c>
      <c r="N93" s="19" t="n">
        <v>10</v>
      </c>
      <c r="O93" s="19" t="n">
        <v>10</v>
      </c>
      <c r="P93" s="19" t="n">
        <v>2000</v>
      </c>
      <c r="Q93" s="19" t="n">
        <v>2000</v>
      </c>
      <c r="R93" s="19" t="s">
        <v>39</v>
      </c>
      <c r="S93" s="19" t="s">
        <v>184</v>
      </c>
      <c r="T93" s="19" t="s">
        <v>184</v>
      </c>
      <c r="U93" s="19" t="n">
        <v>886500</v>
      </c>
      <c r="V93" s="19" t="n">
        <v>60000</v>
      </c>
      <c r="W93" s="19" t="n">
        <v>40000</v>
      </c>
      <c r="X93" s="19" t="s">
        <v>447</v>
      </c>
      <c r="Y93" s="19" t="n">
        <v>461500</v>
      </c>
      <c r="Z93" s="19" t="n">
        <v>40000</v>
      </c>
      <c r="AA93" s="19" t="n">
        <v>20000</v>
      </c>
      <c r="AC93" s="85" t="n">
        <v>42088</v>
      </c>
      <c r="AD93" s="85" t="n">
        <v>42369</v>
      </c>
      <c r="AE93" s="19" t="n">
        <v>1</v>
      </c>
      <c r="AK93" s="85" t="n">
        <v>41801</v>
      </c>
      <c r="AL93" s="85" t="n">
        <v>45247</v>
      </c>
      <c r="AM93" s="19" t="n">
        <v>0.8715</v>
      </c>
      <c r="AQ93" s="85" t="n">
        <v>45275</v>
      </c>
      <c r="AR93" s="19" t="s">
        <v>325</v>
      </c>
      <c r="AS93" s="19" t="s">
        <v>810</v>
      </c>
      <c r="AT93" s="19" t="s">
        <v>313</v>
      </c>
      <c r="AV93" s="19" t="n">
        <v>2</v>
      </c>
      <c r="AW93" s="19" t="n">
        <v>2</v>
      </c>
      <c r="AY93" s="19" t="n">
        <v>2023</v>
      </c>
      <c r="AZ93" s="19" t="s">
        <v>457</v>
      </c>
      <c r="BA93" s="19" t="s">
        <v>449</v>
      </c>
      <c r="BB93" s="19" t="n">
        <v>0.5375</v>
      </c>
      <c r="BC93" s="85" t="n">
        <v>45563</v>
      </c>
      <c r="BD93" s="19" t="s">
        <v>450</v>
      </c>
    </row>
    <row r="94" customFormat="false" ht="12.8" hidden="false" customHeight="false" outlineLevel="0" collapsed="false">
      <c r="A94" s="19" t="s">
        <v>29</v>
      </c>
      <c r="B94" s="19" t="s">
        <v>4</v>
      </c>
      <c r="C94" s="19" t="s">
        <v>30</v>
      </c>
      <c r="D94" s="19" t="s">
        <v>66</v>
      </c>
      <c r="E94" s="19" t="s">
        <v>515</v>
      </c>
      <c r="G94" s="19" t="s">
        <v>33</v>
      </c>
      <c r="H94" s="19" t="s">
        <v>34</v>
      </c>
      <c r="I94" s="19" t="s">
        <v>811</v>
      </c>
      <c r="J94" s="19" t="s">
        <v>69</v>
      </c>
      <c r="K94" s="19" t="s">
        <v>70</v>
      </c>
      <c r="L94" s="19" t="s">
        <v>809</v>
      </c>
      <c r="M94" s="19" t="n">
        <v>2013</v>
      </c>
      <c r="N94" s="19" t="n">
        <v>25</v>
      </c>
      <c r="O94" s="19" t="n">
        <v>25</v>
      </c>
      <c r="P94" s="19" t="n">
        <v>25000</v>
      </c>
      <c r="Q94" s="19" t="n">
        <v>25000</v>
      </c>
      <c r="R94" s="19" t="s">
        <v>39</v>
      </c>
      <c r="S94" s="19" t="s">
        <v>717</v>
      </c>
      <c r="T94" s="19" t="s">
        <v>763</v>
      </c>
      <c r="U94" s="19" t="n">
        <v>886500</v>
      </c>
      <c r="V94" s="19" t="n">
        <v>146500</v>
      </c>
      <c r="W94" s="19" t="n">
        <v>100000</v>
      </c>
      <c r="X94" s="19" t="s">
        <v>447</v>
      </c>
      <c r="Y94" s="19" t="n">
        <v>461500</v>
      </c>
      <c r="Z94" s="19" t="n">
        <v>100000</v>
      </c>
      <c r="AA94" s="19" t="n">
        <v>50000</v>
      </c>
      <c r="AC94" s="85" t="n">
        <v>42149</v>
      </c>
      <c r="AD94" s="85" t="n">
        <v>42369</v>
      </c>
      <c r="AE94" s="19" t="n">
        <v>1</v>
      </c>
      <c r="AK94" s="85" t="n">
        <v>41801</v>
      </c>
      <c r="AL94" s="85" t="n">
        <v>45248</v>
      </c>
      <c r="AM94" s="19" t="n">
        <v>0.8507</v>
      </c>
      <c r="AN94" s="19" t="s">
        <v>812</v>
      </c>
      <c r="AO94" s="19" t="s">
        <v>813</v>
      </c>
      <c r="AR94" s="19" t="s">
        <v>117</v>
      </c>
      <c r="AS94" s="19" t="s">
        <v>117</v>
      </c>
      <c r="AT94" s="19" t="s">
        <v>313</v>
      </c>
      <c r="AV94" s="19" t="n">
        <v>3</v>
      </c>
      <c r="AW94" s="19" t="n">
        <v>3</v>
      </c>
      <c r="AY94" s="19" t="n">
        <v>2023</v>
      </c>
      <c r="AZ94" s="19" t="s">
        <v>535</v>
      </c>
      <c r="BA94" s="19" t="s">
        <v>449</v>
      </c>
      <c r="BB94" s="19" t="n">
        <v>0.1307</v>
      </c>
      <c r="BC94" s="85" t="n">
        <v>45551</v>
      </c>
      <c r="BD94" s="19" t="s">
        <v>450</v>
      </c>
    </row>
    <row r="95" customFormat="false" ht="12.8" hidden="false" customHeight="false" outlineLevel="0" collapsed="false">
      <c r="A95" s="19" t="s">
        <v>29</v>
      </c>
      <c r="B95" s="19" t="s">
        <v>4</v>
      </c>
      <c r="C95" s="19" t="s">
        <v>30</v>
      </c>
      <c r="D95" s="19" t="s">
        <v>66</v>
      </c>
      <c r="E95" s="19" t="s">
        <v>515</v>
      </c>
      <c r="G95" s="19" t="s">
        <v>33</v>
      </c>
      <c r="H95" s="19" t="s">
        <v>34</v>
      </c>
      <c r="I95" s="19" t="s">
        <v>814</v>
      </c>
      <c r="J95" s="19" t="s">
        <v>69</v>
      </c>
      <c r="K95" s="19" t="s">
        <v>70</v>
      </c>
      <c r="L95" s="19" t="s">
        <v>809</v>
      </c>
      <c r="M95" s="19" t="n">
        <v>2013</v>
      </c>
      <c r="N95" s="19" t="n">
        <v>50</v>
      </c>
      <c r="O95" s="19" t="n">
        <v>50</v>
      </c>
      <c r="P95" s="19" t="n">
        <v>25000</v>
      </c>
      <c r="Q95" s="19" t="n">
        <v>25000</v>
      </c>
      <c r="R95" s="19" t="s">
        <v>39</v>
      </c>
      <c r="S95" s="19" t="s">
        <v>40</v>
      </c>
      <c r="T95" s="19" t="s">
        <v>41</v>
      </c>
      <c r="U95" s="19" t="n">
        <v>886500</v>
      </c>
      <c r="V95" s="19" t="n">
        <v>300000</v>
      </c>
      <c r="W95" s="19" t="n">
        <v>200000</v>
      </c>
      <c r="X95" s="19" t="s">
        <v>447</v>
      </c>
      <c r="Y95" s="19" t="n">
        <v>461500</v>
      </c>
      <c r="Z95" s="19" t="n">
        <v>200000</v>
      </c>
      <c r="AA95" s="19" t="n">
        <v>100000</v>
      </c>
      <c r="AC95" s="85" t="n">
        <v>42515</v>
      </c>
      <c r="AD95" s="85" t="n">
        <v>42369</v>
      </c>
      <c r="AE95" s="19" t="n">
        <v>1</v>
      </c>
      <c r="AK95" s="85" t="n">
        <v>41801</v>
      </c>
      <c r="AL95" s="85" t="n">
        <v>45249</v>
      </c>
      <c r="AM95" s="19" t="n">
        <v>0.8608</v>
      </c>
      <c r="AN95" s="19" t="s">
        <v>815</v>
      </c>
      <c r="AO95" s="19" t="s">
        <v>816</v>
      </c>
      <c r="AR95" s="19" t="s">
        <v>311</v>
      </c>
      <c r="AS95" s="19" t="s">
        <v>312</v>
      </c>
      <c r="AT95" s="19" t="s">
        <v>313</v>
      </c>
      <c r="AV95" s="19" t="n">
        <v>6</v>
      </c>
      <c r="AW95" s="19" t="n">
        <v>6</v>
      </c>
      <c r="AY95" s="19" t="n">
        <v>2023</v>
      </c>
      <c r="AZ95" s="19" t="s">
        <v>535</v>
      </c>
      <c r="BA95" s="19" t="s">
        <v>449</v>
      </c>
      <c r="BB95" s="19" t="n">
        <v>0.3503</v>
      </c>
      <c r="BC95" s="85" t="n">
        <v>45561</v>
      </c>
      <c r="BD95" s="19" t="s">
        <v>450</v>
      </c>
    </row>
    <row r="96" customFormat="false" ht="12.8" hidden="false" customHeight="false" outlineLevel="0" collapsed="false">
      <c r="A96" s="19" t="s">
        <v>29</v>
      </c>
      <c r="B96" s="19" t="s">
        <v>4</v>
      </c>
      <c r="C96" s="19" t="s">
        <v>30</v>
      </c>
      <c r="D96" s="19" t="s">
        <v>198</v>
      </c>
      <c r="E96" s="19" t="s">
        <v>79</v>
      </c>
      <c r="G96" s="19" t="s">
        <v>80</v>
      </c>
      <c r="H96" s="19" t="s">
        <v>314</v>
      </c>
      <c r="I96" s="19" t="s">
        <v>817</v>
      </c>
      <c r="J96" s="19" t="s">
        <v>200</v>
      </c>
      <c r="K96" s="19" t="s">
        <v>333</v>
      </c>
      <c r="L96" s="19" t="s">
        <v>818</v>
      </c>
      <c r="M96" s="19" t="n">
        <v>2014</v>
      </c>
      <c r="N96" s="19" t="n">
        <v>100</v>
      </c>
      <c r="O96" s="19" t="n">
        <v>100</v>
      </c>
      <c r="P96" s="19" t="n">
        <v>100000</v>
      </c>
      <c r="Q96" s="19" t="n">
        <v>100000</v>
      </c>
      <c r="R96" s="19" t="s">
        <v>39</v>
      </c>
      <c r="S96" s="19" t="s">
        <v>717</v>
      </c>
      <c r="T96" s="19" t="s">
        <v>819</v>
      </c>
      <c r="U96" s="19" t="n">
        <v>1500000</v>
      </c>
      <c r="V96" s="19" t="n">
        <v>600000</v>
      </c>
      <c r="W96" s="19" t="n">
        <v>300000</v>
      </c>
      <c r="X96" s="19" t="s">
        <v>447</v>
      </c>
      <c r="Y96" s="19" t="n">
        <v>400000</v>
      </c>
      <c r="Z96" s="19" t="n">
        <v>300000</v>
      </c>
      <c r="AA96" s="19" t="n">
        <v>200000</v>
      </c>
      <c r="AC96" s="85" t="n">
        <v>42101</v>
      </c>
      <c r="AD96" s="85" t="n">
        <v>42735</v>
      </c>
      <c r="AE96" s="19" t="n">
        <v>1</v>
      </c>
      <c r="AI96" s="19" t="n">
        <v>1470000</v>
      </c>
      <c r="AL96" s="85" t="n">
        <v>42642</v>
      </c>
      <c r="AM96" s="19" t="n">
        <v>0.873</v>
      </c>
      <c r="AN96" s="19" t="s">
        <v>820</v>
      </c>
      <c r="AO96" s="19" t="s">
        <v>821</v>
      </c>
      <c r="AR96" s="19" t="s">
        <v>117</v>
      </c>
      <c r="AS96" s="19" t="s">
        <v>117</v>
      </c>
      <c r="AT96" s="19" t="s">
        <v>313</v>
      </c>
      <c r="AV96" s="19" t="n">
        <v>11</v>
      </c>
      <c r="AW96" s="19" t="n">
        <v>11</v>
      </c>
      <c r="AY96" s="19" t="n">
        <v>2023</v>
      </c>
      <c r="AZ96" s="19" t="s">
        <v>476</v>
      </c>
      <c r="BA96" s="19" t="s">
        <v>480</v>
      </c>
      <c r="BB96" s="19" t="n">
        <v>0.133</v>
      </c>
      <c r="BC96" s="85" t="n">
        <v>45540</v>
      </c>
      <c r="BD96" s="19" t="s">
        <v>450</v>
      </c>
    </row>
    <row r="97" customFormat="false" ht="12.8" hidden="false" customHeight="false" outlineLevel="0" collapsed="false">
      <c r="A97" s="19" t="s">
        <v>29</v>
      </c>
      <c r="B97" s="19" t="s">
        <v>4</v>
      </c>
      <c r="C97" s="19" t="s">
        <v>30</v>
      </c>
      <c r="D97" s="19" t="s">
        <v>151</v>
      </c>
      <c r="E97" s="19" t="s">
        <v>32</v>
      </c>
      <c r="G97" s="19" t="s">
        <v>33</v>
      </c>
      <c r="H97" s="19" t="s">
        <v>34</v>
      </c>
      <c r="I97" s="19" t="s">
        <v>822</v>
      </c>
      <c r="J97" s="19" t="s">
        <v>823</v>
      </c>
      <c r="K97" s="19" t="s">
        <v>824</v>
      </c>
      <c r="L97" s="19" t="s">
        <v>825</v>
      </c>
      <c r="M97" s="19" t="n">
        <v>2014</v>
      </c>
      <c r="N97" s="19" t="n">
        <v>60</v>
      </c>
      <c r="O97" s="19" t="n">
        <v>60</v>
      </c>
      <c r="P97" s="19" t="n">
        <v>39960</v>
      </c>
      <c r="Q97" s="19" t="n">
        <v>39960</v>
      </c>
      <c r="R97" s="19" t="s">
        <v>39</v>
      </c>
      <c r="S97" s="19" t="s">
        <v>508</v>
      </c>
      <c r="T97" s="19" t="s">
        <v>508</v>
      </c>
      <c r="U97" s="19" t="n">
        <v>1769520</v>
      </c>
      <c r="V97" s="19" t="n">
        <v>144000</v>
      </c>
      <c r="W97" s="19" t="n">
        <v>180000</v>
      </c>
      <c r="X97" s="19" t="s">
        <v>447</v>
      </c>
      <c r="Y97" s="19" t="n">
        <v>240000</v>
      </c>
      <c r="Z97" s="19" t="n">
        <v>180000</v>
      </c>
      <c r="AA97" s="19" t="n">
        <v>120000</v>
      </c>
      <c r="AB97" s="19" t="n">
        <v>1769520</v>
      </c>
      <c r="AC97" s="85" t="n">
        <v>41800</v>
      </c>
      <c r="AD97" s="85" t="n">
        <v>42735</v>
      </c>
      <c r="AE97" s="19" t="n">
        <v>1</v>
      </c>
      <c r="AG97" s="85" t="n">
        <v>42705</v>
      </c>
      <c r="AH97" s="19" t="n">
        <v>1219520</v>
      </c>
      <c r="AI97" s="19" t="n">
        <v>550000</v>
      </c>
      <c r="AK97" s="85" t="n">
        <v>41800</v>
      </c>
      <c r="AM97" s="19" t="n">
        <v>0.8644</v>
      </c>
      <c r="AR97" s="19" t="s">
        <v>325</v>
      </c>
      <c r="AS97" s="19" t="s">
        <v>826</v>
      </c>
      <c r="AT97" s="19" t="s">
        <v>313</v>
      </c>
      <c r="AV97" s="19" t="n">
        <v>7</v>
      </c>
      <c r="AW97" s="19" t="n">
        <v>7</v>
      </c>
      <c r="AY97" s="19" t="n">
        <v>2023</v>
      </c>
      <c r="AZ97" s="19" t="s">
        <v>476</v>
      </c>
      <c r="BA97" s="19" t="s">
        <v>449</v>
      </c>
      <c r="BB97" s="19" t="n">
        <v>0.074</v>
      </c>
      <c r="BC97" s="85" t="n">
        <v>45545</v>
      </c>
      <c r="BD97" s="19" t="s">
        <v>450</v>
      </c>
    </row>
    <row r="98" customFormat="false" ht="12.8" hidden="false" customHeight="false" outlineLevel="0" collapsed="false">
      <c r="A98" s="19" t="s">
        <v>29</v>
      </c>
      <c r="B98" s="19" t="s">
        <v>4</v>
      </c>
      <c r="C98" s="19" t="s">
        <v>30</v>
      </c>
      <c r="D98" s="19" t="s">
        <v>151</v>
      </c>
      <c r="E98" s="19" t="s">
        <v>32</v>
      </c>
      <c r="G98" s="19" t="s">
        <v>33</v>
      </c>
      <c r="H98" s="19" t="s">
        <v>47</v>
      </c>
      <c r="I98" s="19" t="s">
        <v>827</v>
      </c>
      <c r="J98" s="19" t="s">
        <v>828</v>
      </c>
      <c r="K98" s="19" t="s">
        <v>318</v>
      </c>
      <c r="L98" s="19" t="s">
        <v>829</v>
      </c>
      <c r="M98" s="19" t="n">
        <v>2014</v>
      </c>
      <c r="N98" s="19" t="n">
        <v>170</v>
      </c>
      <c r="O98" s="19" t="n">
        <v>170</v>
      </c>
      <c r="P98" s="19" t="n">
        <v>170000</v>
      </c>
      <c r="Q98" s="19" t="n">
        <v>170000</v>
      </c>
      <c r="R98" s="19" t="s">
        <v>39</v>
      </c>
      <c r="S98" s="19" t="s">
        <v>717</v>
      </c>
      <c r="T98" s="19" t="s">
        <v>830</v>
      </c>
      <c r="U98" s="19" t="n">
        <v>2550000</v>
      </c>
      <c r="V98" s="19" t="n">
        <v>1020000</v>
      </c>
      <c r="W98" s="19" t="n">
        <v>510000</v>
      </c>
      <c r="X98" s="19" t="s">
        <v>447</v>
      </c>
      <c r="Y98" s="19" t="n">
        <v>680000</v>
      </c>
      <c r="Z98" s="19" t="n">
        <v>510000</v>
      </c>
      <c r="AA98" s="19" t="n">
        <v>340000</v>
      </c>
      <c r="AC98" s="85" t="n">
        <v>41829</v>
      </c>
      <c r="AD98" s="85" t="n">
        <v>42735</v>
      </c>
      <c r="AE98" s="19" t="n">
        <v>1</v>
      </c>
      <c r="AH98" s="19" t="n">
        <v>1700000</v>
      </c>
      <c r="AI98" s="19" t="n">
        <v>850000</v>
      </c>
      <c r="AK98" s="85" t="n">
        <v>41829</v>
      </c>
      <c r="AM98" s="19" t="n">
        <v>0.869</v>
      </c>
      <c r="AN98" s="19" t="s">
        <v>831</v>
      </c>
      <c r="AO98" s="19" t="s">
        <v>832</v>
      </c>
      <c r="AR98" s="19" t="s">
        <v>117</v>
      </c>
      <c r="AS98" s="19" t="s">
        <v>833</v>
      </c>
      <c r="AT98" s="19" t="s">
        <v>313</v>
      </c>
      <c r="AV98" s="19" t="n">
        <v>18</v>
      </c>
      <c r="AW98" s="19" t="n">
        <v>18</v>
      </c>
      <c r="AY98" s="19" t="n">
        <v>2023</v>
      </c>
      <c r="AZ98" s="19" t="s">
        <v>535</v>
      </c>
      <c r="BA98" s="19" t="s">
        <v>480</v>
      </c>
      <c r="BB98" s="19" t="n">
        <v>0.0316</v>
      </c>
      <c r="BC98" s="85" t="n">
        <v>45553</v>
      </c>
      <c r="BD98" s="19" t="s">
        <v>450</v>
      </c>
    </row>
    <row r="99" customFormat="false" ht="12.8" hidden="false" customHeight="false" outlineLevel="0" collapsed="false">
      <c r="A99" s="19" t="s">
        <v>29</v>
      </c>
      <c r="B99" s="19" t="s">
        <v>4</v>
      </c>
      <c r="C99" s="19" t="s">
        <v>30</v>
      </c>
      <c r="D99" s="19" t="s">
        <v>186</v>
      </c>
      <c r="E99" s="19" t="s">
        <v>32</v>
      </c>
      <c r="G99" s="19" t="s">
        <v>33</v>
      </c>
      <c r="H99" s="19" t="s">
        <v>47</v>
      </c>
      <c r="I99" s="19" t="s">
        <v>834</v>
      </c>
      <c r="J99" s="19" t="s">
        <v>835</v>
      </c>
      <c r="K99" s="19" t="s">
        <v>388</v>
      </c>
      <c r="L99" s="19" t="s">
        <v>836</v>
      </c>
      <c r="M99" s="19" t="n">
        <v>2014</v>
      </c>
      <c r="N99" s="19" t="n">
        <v>130</v>
      </c>
      <c r="O99" s="19" t="n">
        <v>130</v>
      </c>
      <c r="P99" s="19" t="n">
        <v>130000</v>
      </c>
      <c r="Q99" s="19" t="n">
        <v>130000</v>
      </c>
      <c r="R99" s="19" t="s">
        <v>39</v>
      </c>
      <c r="S99" s="19" t="s">
        <v>717</v>
      </c>
      <c r="T99" s="19" t="s">
        <v>837</v>
      </c>
      <c r="U99" s="19" t="n">
        <v>1950000</v>
      </c>
      <c r="V99" s="19" t="n">
        <v>780000</v>
      </c>
      <c r="W99" s="19" t="n">
        <v>390000</v>
      </c>
      <c r="X99" s="19" t="s">
        <v>447</v>
      </c>
      <c r="Y99" s="19" t="n">
        <v>520000</v>
      </c>
      <c r="Z99" s="19" t="n">
        <v>390000</v>
      </c>
      <c r="AA99" s="19" t="n">
        <v>260000</v>
      </c>
      <c r="AC99" s="85" t="n">
        <v>41829</v>
      </c>
      <c r="AD99" s="85" t="n">
        <v>42735</v>
      </c>
      <c r="AE99" s="19" t="n">
        <v>1</v>
      </c>
      <c r="AG99" s="85" t="n">
        <v>42676</v>
      </c>
      <c r="AI99" s="19" t="n">
        <v>650000</v>
      </c>
      <c r="AK99" s="85" t="n">
        <v>41829</v>
      </c>
      <c r="AL99" s="85" t="n">
        <v>42691</v>
      </c>
      <c r="AM99" s="19" t="n">
        <v>0.8501</v>
      </c>
      <c r="AR99" s="19" t="s">
        <v>117</v>
      </c>
      <c r="AS99" s="19" t="s">
        <v>833</v>
      </c>
      <c r="AT99" s="19" t="s">
        <v>313</v>
      </c>
      <c r="AV99" s="19" t="n">
        <v>14</v>
      </c>
      <c r="AW99" s="19" t="n">
        <v>14</v>
      </c>
      <c r="AY99" s="19" t="n">
        <v>2023</v>
      </c>
      <c r="AZ99" s="19" t="s">
        <v>535</v>
      </c>
      <c r="BA99" s="19" t="s">
        <v>480</v>
      </c>
      <c r="BB99" s="19" t="n">
        <v>0.0481</v>
      </c>
      <c r="BC99" s="85" t="n">
        <v>45455</v>
      </c>
      <c r="BD99" s="19" t="s">
        <v>450</v>
      </c>
    </row>
    <row r="100" customFormat="false" ht="12.8" hidden="false" customHeight="false" outlineLevel="0" collapsed="false">
      <c r="A100" s="19" t="s">
        <v>29</v>
      </c>
      <c r="B100" s="19" t="s">
        <v>4</v>
      </c>
      <c r="C100" s="19" t="s">
        <v>30</v>
      </c>
      <c r="D100" s="19" t="s">
        <v>695</v>
      </c>
      <c r="E100" s="19" t="s">
        <v>32</v>
      </c>
      <c r="G100" s="19" t="s">
        <v>33</v>
      </c>
      <c r="H100" s="19" t="s">
        <v>34</v>
      </c>
      <c r="I100" s="19" t="s">
        <v>838</v>
      </c>
      <c r="J100" s="19" t="s">
        <v>36</v>
      </c>
      <c r="K100" s="19" t="s">
        <v>504</v>
      </c>
      <c r="L100" s="19" t="s">
        <v>839</v>
      </c>
      <c r="M100" s="19" t="n">
        <v>2014</v>
      </c>
      <c r="N100" s="19" t="n">
        <v>100</v>
      </c>
      <c r="O100" s="19" t="n">
        <v>100</v>
      </c>
      <c r="P100" s="19" t="n">
        <v>100000</v>
      </c>
      <c r="Q100" s="19" t="n">
        <v>100000</v>
      </c>
      <c r="R100" s="19" t="s">
        <v>39</v>
      </c>
      <c r="S100" s="19" t="s">
        <v>717</v>
      </c>
      <c r="T100" s="19" t="s">
        <v>840</v>
      </c>
      <c r="U100" s="19" t="n">
        <v>1500000</v>
      </c>
      <c r="V100" s="19" t="n">
        <v>600000</v>
      </c>
      <c r="W100" s="19" t="n">
        <v>300000</v>
      </c>
      <c r="X100" s="19" t="s">
        <v>447</v>
      </c>
      <c r="Y100" s="19" t="n">
        <v>400000</v>
      </c>
      <c r="Z100" s="19" t="n">
        <v>300000</v>
      </c>
      <c r="AA100" s="19" t="n">
        <v>200000</v>
      </c>
      <c r="AB100" s="19" t="n">
        <v>1500000</v>
      </c>
      <c r="AC100" s="85" t="n">
        <v>41815</v>
      </c>
      <c r="AD100" s="85" t="n">
        <v>42735</v>
      </c>
      <c r="AE100" s="19" t="n">
        <v>1</v>
      </c>
      <c r="AG100" s="85" t="n">
        <v>42732</v>
      </c>
      <c r="AH100" s="19" t="n">
        <v>1000000</v>
      </c>
      <c r="AI100" s="19" t="n">
        <v>500000</v>
      </c>
      <c r="AK100" s="85" t="n">
        <v>41815</v>
      </c>
      <c r="AL100" s="85" t="n">
        <v>42699</v>
      </c>
      <c r="AM100" s="19" t="n">
        <v>0.8637</v>
      </c>
      <c r="AN100" s="19" t="s">
        <v>703</v>
      </c>
      <c r="AO100" s="19" t="s">
        <v>841</v>
      </c>
      <c r="AR100" s="19" t="s">
        <v>311</v>
      </c>
      <c r="AS100" s="19" t="s">
        <v>312</v>
      </c>
      <c r="AT100" s="19" t="s">
        <v>313</v>
      </c>
      <c r="AV100" s="19" t="n">
        <v>11</v>
      </c>
      <c r="AW100" s="19" t="n">
        <v>11</v>
      </c>
      <c r="AY100" s="19" t="n">
        <v>2023</v>
      </c>
      <c r="AZ100" s="19" t="s">
        <v>457</v>
      </c>
      <c r="BA100" s="19" t="s">
        <v>574</v>
      </c>
      <c r="BB100" s="19" t="n">
        <v>0.0295</v>
      </c>
      <c r="BC100" s="85" t="n">
        <v>410749</v>
      </c>
      <c r="BD100" s="19" t="s">
        <v>450</v>
      </c>
    </row>
    <row r="101" customFormat="false" ht="12.8" hidden="false" customHeight="false" outlineLevel="0" collapsed="false">
      <c r="A101" s="19" t="s">
        <v>29</v>
      </c>
      <c r="B101" s="19" t="s">
        <v>4</v>
      </c>
      <c r="C101" s="19" t="s">
        <v>30</v>
      </c>
      <c r="D101" s="19" t="s">
        <v>217</v>
      </c>
      <c r="E101" s="19" t="s">
        <v>32</v>
      </c>
      <c r="G101" s="19" t="s">
        <v>33</v>
      </c>
      <c r="H101" s="19" t="s">
        <v>47</v>
      </c>
      <c r="I101" s="19" t="s">
        <v>842</v>
      </c>
      <c r="J101" s="19" t="s">
        <v>843</v>
      </c>
      <c r="K101" s="19" t="s">
        <v>350</v>
      </c>
      <c r="L101" s="19" t="s">
        <v>844</v>
      </c>
      <c r="M101" s="19" t="n">
        <v>2014</v>
      </c>
      <c r="N101" s="19" t="n">
        <v>100</v>
      </c>
      <c r="O101" s="19" t="n">
        <v>100</v>
      </c>
      <c r="P101" s="19" t="n">
        <v>100000</v>
      </c>
      <c r="Q101" s="19" t="n">
        <v>100000</v>
      </c>
      <c r="R101" s="19" t="s">
        <v>39</v>
      </c>
      <c r="S101" s="19" t="s">
        <v>717</v>
      </c>
      <c r="T101" s="19" t="s">
        <v>845</v>
      </c>
      <c r="U101" s="19" t="n">
        <v>2150000</v>
      </c>
      <c r="V101" s="19" t="n">
        <v>600000</v>
      </c>
      <c r="W101" s="19" t="n">
        <v>300000</v>
      </c>
      <c r="X101" s="19" t="s">
        <v>447</v>
      </c>
      <c r="Y101" s="19" t="n">
        <v>400000</v>
      </c>
      <c r="Z101" s="19" t="n">
        <v>300000</v>
      </c>
      <c r="AA101" s="19" t="n">
        <v>200000</v>
      </c>
      <c r="AD101" s="85" t="n">
        <v>42735</v>
      </c>
      <c r="AE101" s="19" t="n">
        <v>1</v>
      </c>
      <c r="AH101" s="19" t="n">
        <v>1400000</v>
      </c>
      <c r="AI101" s="19" t="n">
        <v>750000</v>
      </c>
      <c r="AK101" s="85" t="n">
        <v>41800</v>
      </c>
      <c r="AM101" s="19" t="n">
        <v>0.8521</v>
      </c>
      <c r="AN101" s="19" t="s">
        <v>846</v>
      </c>
      <c r="AO101" s="19" t="s">
        <v>847</v>
      </c>
      <c r="AR101" s="19" t="s">
        <v>117</v>
      </c>
      <c r="AS101" s="19" t="s">
        <v>117</v>
      </c>
      <c r="AT101" s="19" t="s">
        <v>313</v>
      </c>
      <c r="AV101" s="19" t="n">
        <v>11</v>
      </c>
      <c r="AW101" s="19" t="n">
        <v>11</v>
      </c>
      <c r="AY101" s="19" t="n">
        <v>2023</v>
      </c>
      <c r="AZ101" s="19" t="s">
        <v>448</v>
      </c>
      <c r="BA101" s="19" t="s">
        <v>449</v>
      </c>
      <c r="BB101" s="19" t="n">
        <v>0.1487</v>
      </c>
      <c r="BC101" s="85" t="n">
        <v>45490</v>
      </c>
      <c r="BD101" s="19" t="s">
        <v>450</v>
      </c>
    </row>
    <row r="102" customFormat="false" ht="12.8" hidden="false" customHeight="false" outlineLevel="0" collapsed="false">
      <c r="A102" s="19" t="s">
        <v>29</v>
      </c>
      <c r="B102" s="19" t="s">
        <v>4</v>
      </c>
      <c r="C102" s="19" t="s">
        <v>30</v>
      </c>
      <c r="D102" s="19" t="s">
        <v>151</v>
      </c>
      <c r="E102" s="19" t="s">
        <v>32</v>
      </c>
      <c r="G102" s="19" t="s">
        <v>33</v>
      </c>
      <c r="H102" s="19" t="s">
        <v>34</v>
      </c>
      <c r="I102" s="19" t="s">
        <v>848</v>
      </c>
      <c r="J102" s="19" t="s">
        <v>828</v>
      </c>
      <c r="K102" s="19" t="s">
        <v>318</v>
      </c>
      <c r="L102" s="19" t="s">
        <v>849</v>
      </c>
      <c r="M102" s="19" t="n">
        <v>2014</v>
      </c>
      <c r="N102" s="19" t="n">
        <v>305</v>
      </c>
      <c r="O102" s="19" t="n">
        <v>305</v>
      </c>
      <c r="P102" s="19" t="n">
        <v>153000</v>
      </c>
      <c r="Q102" s="19" t="n">
        <v>153000</v>
      </c>
      <c r="R102" s="19" t="s">
        <v>39</v>
      </c>
      <c r="S102" s="19" t="s">
        <v>40</v>
      </c>
      <c r="T102" s="19" t="s">
        <v>41</v>
      </c>
      <c r="U102" s="19" t="n">
        <v>4485000</v>
      </c>
      <c r="V102" s="19" t="n">
        <v>1830000</v>
      </c>
      <c r="W102" s="19" t="n">
        <v>1220000</v>
      </c>
      <c r="X102" s="19" t="s">
        <v>447</v>
      </c>
      <c r="Y102" s="19" t="n">
        <v>1220000</v>
      </c>
      <c r="Z102" s="19" t="n">
        <v>915000</v>
      </c>
      <c r="AA102" s="19" t="n">
        <v>610000</v>
      </c>
      <c r="AD102" s="85" t="n">
        <v>42735</v>
      </c>
      <c r="AE102" s="19" t="n">
        <v>1</v>
      </c>
      <c r="AH102" s="19" t="n">
        <v>2450000</v>
      </c>
      <c r="AI102" s="19" t="n">
        <v>2035000</v>
      </c>
      <c r="AM102" s="19" t="n">
        <v>0.8697</v>
      </c>
      <c r="AR102" s="19" t="s">
        <v>311</v>
      </c>
      <c r="AS102" s="19" t="s">
        <v>317</v>
      </c>
      <c r="AT102" s="19" t="s">
        <v>313</v>
      </c>
      <c r="AV102" s="19" t="n">
        <v>31</v>
      </c>
      <c r="AW102" s="19" t="n">
        <v>31</v>
      </c>
      <c r="AY102" s="19" t="n">
        <v>2023</v>
      </c>
      <c r="AZ102" s="19" t="s">
        <v>476</v>
      </c>
      <c r="BA102" s="19" t="s">
        <v>480</v>
      </c>
      <c r="BB102" s="19" t="n">
        <v>0.055</v>
      </c>
      <c r="BC102" s="85" t="n">
        <v>45468</v>
      </c>
      <c r="BD102" s="19" t="s">
        <v>450</v>
      </c>
    </row>
    <row r="103" customFormat="false" ht="12.8" hidden="false" customHeight="false" outlineLevel="0" collapsed="false">
      <c r="A103" s="19" t="s">
        <v>29</v>
      </c>
      <c r="B103" s="19" t="s">
        <v>4</v>
      </c>
      <c r="C103" s="19" t="s">
        <v>30</v>
      </c>
      <c r="D103" s="19" t="s">
        <v>186</v>
      </c>
      <c r="E103" s="19" t="s">
        <v>32</v>
      </c>
      <c r="G103" s="19" t="s">
        <v>33</v>
      </c>
      <c r="H103" s="19" t="s">
        <v>47</v>
      </c>
      <c r="I103" s="19" t="s">
        <v>850</v>
      </c>
      <c r="J103" s="19" t="s">
        <v>851</v>
      </c>
      <c r="K103" s="19" t="s">
        <v>388</v>
      </c>
      <c r="L103" s="19" t="s">
        <v>852</v>
      </c>
      <c r="M103" s="19" t="n">
        <v>2014</v>
      </c>
      <c r="N103" s="19" t="n">
        <v>230</v>
      </c>
      <c r="O103" s="19" t="n">
        <v>230</v>
      </c>
      <c r="P103" s="19" t="n">
        <v>115000</v>
      </c>
      <c r="Q103" s="19" t="n">
        <v>115000</v>
      </c>
      <c r="R103" s="19" t="s">
        <v>39</v>
      </c>
      <c r="S103" s="19" t="s">
        <v>40</v>
      </c>
      <c r="T103" s="19" t="s">
        <v>853</v>
      </c>
      <c r="U103" s="19" t="n">
        <v>2850000</v>
      </c>
      <c r="V103" s="19" t="n">
        <v>1380000</v>
      </c>
      <c r="W103" s="19" t="n">
        <v>920000</v>
      </c>
      <c r="X103" s="19" t="s">
        <v>447</v>
      </c>
      <c r="Y103" s="19" t="n">
        <v>920000</v>
      </c>
      <c r="Z103" s="19" t="n">
        <v>690000</v>
      </c>
      <c r="AA103" s="19" t="n">
        <v>460000</v>
      </c>
      <c r="AC103" s="85" t="n">
        <v>41829</v>
      </c>
      <c r="AD103" s="85" t="n">
        <v>42735</v>
      </c>
      <c r="AE103" s="19" t="n">
        <v>1</v>
      </c>
      <c r="AG103" s="85" t="n">
        <v>42732</v>
      </c>
      <c r="AI103" s="19" t="n">
        <v>1150000</v>
      </c>
      <c r="AK103" s="85" t="n">
        <v>41829</v>
      </c>
      <c r="AL103" s="85" t="n">
        <v>42692</v>
      </c>
      <c r="AM103" s="19" t="n">
        <v>0.8521</v>
      </c>
      <c r="AN103" s="19" t="s">
        <v>831</v>
      </c>
      <c r="AO103" s="19" t="s">
        <v>854</v>
      </c>
      <c r="AR103" s="19" t="s">
        <v>311</v>
      </c>
      <c r="AS103" s="19" t="s">
        <v>317</v>
      </c>
      <c r="AT103" s="19" t="s">
        <v>313</v>
      </c>
      <c r="AV103" s="19" t="n">
        <v>24</v>
      </c>
      <c r="AW103" s="19" t="n">
        <v>24</v>
      </c>
      <c r="AY103" s="19" t="n">
        <v>2023</v>
      </c>
      <c r="AZ103" s="19" t="s">
        <v>535</v>
      </c>
      <c r="BA103" s="19" t="s">
        <v>480</v>
      </c>
      <c r="BB103" s="19" t="n">
        <v>0.0739</v>
      </c>
      <c r="BD103" s="19" t="s">
        <v>450</v>
      </c>
    </row>
    <row r="104" customFormat="false" ht="12.8" hidden="false" customHeight="false" outlineLevel="0" collapsed="false">
      <c r="A104" s="19" t="s">
        <v>29</v>
      </c>
      <c r="B104" s="19" t="s">
        <v>4</v>
      </c>
      <c r="C104" s="19" t="s">
        <v>30</v>
      </c>
      <c r="D104" s="19" t="s">
        <v>695</v>
      </c>
      <c r="E104" s="19" t="s">
        <v>32</v>
      </c>
      <c r="G104" s="19" t="s">
        <v>33</v>
      </c>
      <c r="H104" s="19" t="s">
        <v>314</v>
      </c>
      <c r="I104" s="19" t="s">
        <v>855</v>
      </c>
      <c r="J104" s="19" t="s">
        <v>36</v>
      </c>
      <c r="K104" s="19" t="s">
        <v>504</v>
      </c>
      <c r="L104" s="19" t="s">
        <v>856</v>
      </c>
      <c r="M104" s="19" t="n">
        <v>2014</v>
      </c>
      <c r="N104" s="19" t="n">
        <v>165</v>
      </c>
      <c r="O104" s="19" t="n">
        <v>165</v>
      </c>
      <c r="P104" s="19" t="n">
        <v>82500</v>
      </c>
      <c r="Q104" s="19" t="n">
        <v>82500</v>
      </c>
      <c r="R104" s="19" t="s">
        <v>39</v>
      </c>
      <c r="S104" s="19" t="s">
        <v>40</v>
      </c>
      <c r="T104" s="19" t="s">
        <v>857</v>
      </c>
      <c r="U104" s="19" t="n">
        <v>2475000</v>
      </c>
      <c r="V104" s="19" t="n">
        <v>990000</v>
      </c>
      <c r="W104" s="19" t="n">
        <v>660000</v>
      </c>
      <c r="X104" s="19" t="s">
        <v>447</v>
      </c>
      <c r="Y104" s="19" t="n">
        <v>660000</v>
      </c>
      <c r="Z104" s="19" t="n">
        <v>495000</v>
      </c>
      <c r="AA104" s="19" t="n">
        <v>330000</v>
      </c>
      <c r="AC104" s="85" t="n">
        <v>42101</v>
      </c>
      <c r="AD104" s="85" t="n">
        <v>42735</v>
      </c>
      <c r="AE104" s="19" t="n">
        <v>1</v>
      </c>
      <c r="AG104" s="85" t="n">
        <v>42725</v>
      </c>
      <c r="AH104" s="19" t="n">
        <v>1650000</v>
      </c>
      <c r="AI104" s="19" t="n">
        <v>825000</v>
      </c>
      <c r="AK104" s="85" t="n">
        <v>41815</v>
      </c>
      <c r="AL104" s="85" t="n">
        <v>42698</v>
      </c>
      <c r="AM104" s="19" t="n">
        <v>0.9919</v>
      </c>
      <c r="AR104" s="19" t="s">
        <v>311</v>
      </c>
      <c r="AS104" s="19" t="s">
        <v>312</v>
      </c>
      <c r="AT104" s="19" t="s">
        <v>313</v>
      </c>
      <c r="AV104" s="19" t="n">
        <v>17</v>
      </c>
      <c r="AW104" s="19" t="n">
        <v>17</v>
      </c>
      <c r="AY104" s="19" t="n">
        <v>2023</v>
      </c>
      <c r="AZ104" s="19" t="s">
        <v>535</v>
      </c>
      <c r="BA104" s="19" t="s">
        <v>480</v>
      </c>
      <c r="BB104" s="19" t="n">
        <v>0.0255</v>
      </c>
      <c r="BC104" s="85" t="n">
        <v>45508</v>
      </c>
      <c r="BD104" s="19" t="s">
        <v>450</v>
      </c>
    </row>
    <row r="105" customFormat="false" ht="12.8" hidden="false" customHeight="false" outlineLevel="0" collapsed="false">
      <c r="A105" s="19" t="s">
        <v>29</v>
      </c>
      <c r="B105" s="19" t="s">
        <v>4</v>
      </c>
      <c r="C105" s="19" t="s">
        <v>30</v>
      </c>
      <c r="D105" s="19" t="s">
        <v>217</v>
      </c>
      <c r="E105" s="19" t="s">
        <v>32</v>
      </c>
      <c r="G105" s="19" t="s">
        <v>33</v>
      </c>
      <c r="H105" s="19" t="s">
        <v>47</v>
      </c>
      <c r="I105" s="19" t="s">
        <v>858</v>
      </c>
      <c r="J105" s="19" t="s">
        <v>843</v>
      </c>
      <c r="K105" s="19" t="s">
        <v>350</v>
      </c>
      <c r="L105" s="19" t="s">
        <v>859</v>
      </c>
      <c r="M105" s="19" t="n">
        <v>2014</v>
      </c>
      <c r="N105" s="19" t="n">
        <v>50</v>
      </c>
      <c r="O105" s="19" t="n">
        <v>50</v>
      </c>
      <c r="P105" s="19" t="n">
        <v>10000</v>
      </c>
      <c r="Q105" s="19" t="n">
        <v>10000</v>
      </c>
      <c r="R105" s="19" t="s">
        <v>39</v>
      </c>
      <c r="S105" s="19" t="s">
        <v>93</v>
      </c>
      <c r="T105" s="19" t="s">
        <v>860</v>
      </c>
      <c r="U105" s="19" t="n">
        <v>2150000</v>
      </c>
      <c r="V105" s="19" t="n">
        <v>200000</v>
      </c>
      <c r="W105" s="19" t="n">
        <v>200000</v>
      </c>
      <c r="X105" s="19" t="s">
        <v>447</v>
      </c>
      <c r="Y105" s="19" t="n">
        <v>200000</v>
      </c>
      <c r="Z105" s="19" t="n">
        <v>150000</v>
      </c>
      <c r="AA105" s="19" t="n">
        <v>100000</v>
      </c>
      <c r="AC105" s="85" t="n">
        <v>42101</v>
      </c>
      <c r="AD105" s="85" t="n">
        <v>42735</v>
      </c>
      <c r="AE105" s="19" t="n">
        <v>1</v>
      </c>
      <c r="AH105" s="19" t="n">
        <v>1400000</v>
      </c>
      <c r="AI105" s="19" t="n">
        <v>750000</v>
      </c>
      <c r="AK105" s="85" t="n">
        <v>41918</v>
      </c>
      <c r="AL105" s="85" t="n">
        <v>42689</v>
      </c>
      <c r="AM105" s="19" t="n">
        <v>0.851</v>
      </c>
      <c r="AN105" s="19" t="s">
        <v>861</v>
      </c>
      <c r="AO105" s="19" t="s">
        <v>862</v>
      </c>
      <c r="AQ105" s="85" t="n">
        <v>45275</v>
      </c>
      <c r="AR105" s="19" t="s">
        <v>325</v>
      </c>
      <c r="AS105" s="19" t="s">
        <v>810</v>
      </c>
      <c r="AT105" s="19" t="s">
        <v>313</v>
      </c>
      <c r="AV105" s="19" t="n">
        <v>6</v>
      </c>
      <c r="AW105" s="19" t="n">
        <v>6</v>
      </c>
      <c r="AY105" s="19" t="n">
        <v>2023</v>
      </c>
      <c r="AZ105" s="19" t="s">
        <v>476</v>
      </c>
      <c r="BA105" s="19" t="s">
        <v>480</v>
      </c>
      <c r="BB105" s="19" t="n">
        <v>0.5708</v>
      </c>
      <c r="BC105" s="85" t="n">
        <v>45508</v>
      </c>
      <c r="BD105" s="19" t="s">
        <v>450</v>
      </c>
    </row>
    <row r="106" customFormat="false" ht="12.8" hidden="false" customHeight="false" outlineLevel="0" collapsed="false">
      <c r="A106" s="19" t="s">
        <v>29</v>
      </c>
      <c r="B106" s="19" t="s">
        <v>4</v>
      </c>
      <c r="C106" s="19" t="s">
        <v>30</v>
      </c>
      <c r="D106" s="19" t="s">
        <v>151</v>
      </c>
      <c r="E106" s="19" t="s">
        <v>32</v>
      </c>
      <c r="G106" s="19" t="s">
        <v>33</v>
      </c>
      <c r="H106" s="19" t="s">
        <v>314</v>
      </c>
      <c r="I106" s="19" t="s">
        <v>863</v>
      </c>
      <c r="J106" s="19" t="s">
        <v>791</v>
      </c>
      <c r="K106" s="19" t="s">
        <v>320</v>
      </c>
      <c r="L106" s="19" t="s">
        <v>864</v>
      </c>
      <c r="M106" s="19" t="n">
        <v>2014</v>
      </c>
      <c r="N106" s="19" t="n">
        <v>60</v>
      </c>
      <c r="O106" s="19" t="n">
        <v>60</v>
      </c>
      <c r="P106" s="19" t="n">
        <v>39960</v>
      </c>
      <c r="Q106" s="19" t="n">
        <v>39960</v>
      </c>
      <c r="R106" s="19" t="s">
        <v>39</v>
      </c>
      <c r="S106" s="19" t="s">
        <v>508</v>
      </c>
      <c r="T106" s="19" t="s">
        <v>508</v>
      </c>
      <c r="U106" s="19" t="n">
        <v>1015520</v>
      </c>
      <c r="V106" s="19" t="n">
        <v>479520</v>
      </c>
      <c r="W106" s="19" t="n">
        <v>240000</v>
      </c>
      <c r="X106" s="19" t="s">
        <v>447</v>
      </c>
      <c r="Y106" s="19" t="n">
        <v>240000</v>
      </c>
      <c r="Z106" s="19" t="n">
        <v>180000</v>
      </c>
      <c r="AA106" s="19" t="n">
        <v>120000</v>
      </c>
      <c r="AC106" s="85" t="n">
        <v>42087</v>
      </c>
      <c r="AD106" s="85" t="n">
        <v>42735</v>
      </c>
      <c r="AE106" s="19" t="n">
        <v>1</v>
      </c>
      <c r="AH106" s="19" t="n">
        <v>719520</v>
      </c>
      <c r="AI106" s="19" t="n">
        <v>180000</v>
      </c>
      <c r="AK106" s="85" t="n">
        <v>42079</v>
      </c>
      <c r="AM106" s="19" t="n">
        <v>0.8637</v>
      </c>
      <c r="AQ106" s="85" t="n">
        <v>44558</v>
      </c>
      <c r="AR106" s="19" t="s">
        <v>325</v>
      </c>
      <c r="AS106" s="19" t="s">
        <v>793</v>
      </c>
      <c r="AT106" s="19" t="s">
        <v>313</v>
      </c>
      <c r="AV106" s="19" t="n">
        <v>7</v>
      </c>
      <c r="AW106" s="19" t="n">
        <v>7</v>
      </c>
      <c r="AY106" s="19" t="n">
        <v>2023</v>
      </c>
      <c r="AZ106" s="19" t="s">
        <v>457</v>
      </c>
      <c r="BA106" s="19" t="s">
        <v>449</v>
      </c>
      <c r="BB106" s="19" t="n">
        <v>0.6137</v>
      </c>
      <c r="BC106" s="85" t="n">
        <v>45551</v>
      </c>
      <c r="BD106" s="19" t="s">
        <v>450</v>
      </c>
    </row>
    <row r="107" customFormat="false" ht="12.8" hidden="false" customHeight="false" outlineLevel="0" collapsed="false">
      <c r="A107" s="19" t="s">
        <v>29</v>
      </c>
      <c r="B107" s="19" t="s">
        <v>4</v>
      </c>
      <c r="C107" s="19" t="s">
        <v>30</v>
      </c>
      <c r="D107" s="19" t="s">
        <v>186</v>
      </c>
      <c r="E107" s="19" t="s">
        <v>32</v>
      </c>
      <c r="G107" s="19" t="s">
        <v>33</v>
      </c>
      <c r="H107" s="19" t="s">
        <v>47</v>
      </c>
      <c r="I107" s="19" t="s">
        <v>865</v>
      </c>
      <c r="J107" s="19" t="s">
        <v>851</v>
      </c>
      <c r="K107" s="19" t="s">
        <v>388</v>
      </c>
      <c r="L107" s="19" t="s">
        <v>866</v>
      </c>
      <c r="M107" s="19" t="n">
        <v>2014</v>
      </c>
      <c r="N107" s="19" t="n">
        <v>50</v>
      </c>
      <c r="O107" s="19" t="n">
        <v>50</v>
      </c>
      <c r="P107" s="19" t="n">
        <v>10000</v>
      </c>
      <c r="Q107" s="19" t="n">
        <v>10000</v>
      </c>
      <c r="R107" s="19" t="s">
        <v>39</v>
      </c>
      <c r="S107" s="19" t="s">
        <v>211</v>
      </c>
      <c r="T107" s="19" t="s">
        <v>867</v>
      </c>
      <c r="U107" s="19" t="n">
        <v>550000</v>
      </c>
      <c r="V107" s="19" t="n">
        <v>200000</v>
      </c>
      <c r="W107" s="19" t="n">
        <v>200000</v>
      </c>
      <c r="X107" s="19" t="s">
        <v>447</v>
      </c>
      <c r="Y107" s="19" t="n">
        <v>200000</v>
      </c>
      <c r="Z107" s="19" t="n">
        <v>150000</v>
      </c>
      <c r="AA107" s="19" t="n">
        <v>100000</v>
      </c>
      <c r="AC107" s="85" t="n">
        <v>42087</v>
      </c>
      <c r="AD107" s="85" t="n">
        <v>42735</v>
      </c>
      <c r="AE107" s="19" t="n">
        <v>1</v>
      </c>
      <c r="AI107" s="19" t="n">
        <v>150000</v>
      </c>
      <c r="AK107" s="85" t="n">
        <v>42055</v>
      </c>
      <c r="AL107" s="85" t="n">
        <v>42690</v>
      </c>
      <c r="AM107" s="19" t="n">
        <v>0.852</v>
      </c>
      <c r="AQ107" s="85" t="n">
        <v>44558</v>
      </c>
      <c r="AR107" s="19" t="s">
        <v>325</v>
      </c>
      <c r="AS107" s="19" t="s">
        <v>868</v>
      </c>
      <c r="AT107" s="19" t="s">
        <v>313</v>
      </c>
      <c r="AV107" s="19" t="n">
        <v>6</v>
      </c>
      <c r="AW107" s="19" t="n">
        <v>6</v>
      </c>
      <c r="AY107" s="19" t="n">
        <v>2023</v>
      </c>
      <c r="AZ107" s="19" t="s">
        <v>476</v>
      </c>
      <c r="BA107" s="19" t="s">
        <v>480</v>
      </c>
      <c r="BB107" s="19" t="n">
        <v>0.5283</v>
      </c>
      <c r="BC107" s="85" t="n">
        <v>45449</v>
      </c>
      <c r="BD107" s="19" t="s">
        <v>450</v>
      </c>
    </row>
    <row r="108" customFormat="false" ht="12.8" hidden="false" customHeight="false" outlineLevel="0" collapsed="false">
      <c r="A108" s="19" t="s">
        <v>29</v>
      </c>
      <c r="B108" s="19" t="s">
        <v>4</v>
      </c>
      <c r="C108" s="19" t="s">
        <v>30</v>
      </c>
      <c r="D108" s="19" t="s">
        <v>151</v>
      </c>
      <c r="E108" s="19" t="s">
        <v>32</v>
      </c>
      <c r="G108" s="19" t="s">
        <v>33</v>
      </c>
      <c r="H108" s="19" t="s">
        <v>47</v>
      </c>
      <c r="I108" s="19" t="s">
        <v>869</v>
      </c>
      <c r="J108" s="19" t="s">
        <v>823</v>
      </c>
      <c r="K108" s="19" t="s">
        <v>388</v>
      </c>
      <c r="L108" s="19" t="s">
        <v>870</v>
      </c>
      <c r="M108" s="19" t="n">
        <v>2014</v>
      </c>
      <c r="N108" s="19" t="n">
        <v>50</v>
      </c>
      <c r="O108" s="19" t="n">
        <v>50</v>
      </c>
      <c r="P108" s="19" t="n">
        <v>50000</v>
      </c>
      <c r="Q108" s="19" t="n">
        <v>50000</v>
      </c>
      <c r="R108" s="19" t="s">
        <v>39</v>
      </c>
      <c r="S108" s="19" t="s">
        <v>717</v>
      </c>
      <c r="T108" s="19" t="s">
        <v>845</v>
      </c>
      <c r="U108" s="19" t="n">
        <v>950000</v>
      </c>
      <c r="V108" s="19" t="n">
        <v>300000</v>
      </c>
      <c r="W108" s="19" t="n">
        <v>200000</v>
      </c>
      <c r="X108" s="19" t="s">
        <v>447</v>
      </c>
      <c r="Y108" s="19" t="n">
        <v>200000</v>
      </c>
      <c r="Z108" s="19" t="n">
        <v>150000</v>
      </c>
      <c r="AA108" s="19" t="n">
        <v>100000</v>
      </c>
      <c r="AC108" s="85" t="n">
        <v>41800</v>
      </c>
      <c r="AD108" s="85" t="n">
        <v>42735</v>
      </c>
      <c r="AE108" s="19" t="n">
        <v>1</v>
      </c>
      <c r="AK108" s="85" t="n">
        <v>41800</v>
      </c>
      <c r="AM108" s="19" t="n">
        <v>0.852</v>
      </c>
      <c r="AR108" s="19" t="s">
        <v>325</v>
      </c>
      <c r="AS108" s="19" t="s">
        <v>163</v>
      </c>
      <c r="AT108" s="19" t="s">
        <v>313</v>
      </c>
      <c r="AV108" s="19" t="n">
        <v>6</v>
      </c>
      <c r="AW108" s="19" t="n">
        <v>6</v>
      </c>
      <c r="AY108" s="19" t="n">
        <v>2023</v>
      </c>
      <c r="AZ108" s="19" t="s">
        <v>535</v>
      </c>
      <c r="BA108" s="19" t="s">
        <v>480</v>
      </c>
      <c r="BB108" s="19" t="n">
        <v>0.0255</v>
      </c>
      <c r="BC108" s="85" t="n">
        <v>45485</v>
      </c>
      <c r="BD108" s="19" t="s">
        <v>450</v>
      </c>
    </row>
    <row r="109" customFormat="false" ht="12.8" hidden="false" customHeight="false" outlineLevel="0" collapsed="false">
      <c r="A109" s="19" t="s">
        <v>29</v>
      </c>
      <c r="B109" s="19" t="s">
        <v>4</v>
      </c>
      <c r="C109" s="19" t="s">
        <v>30</v>
      </c>
      <c r="D109" s="19" t="s">
        <v>85</v>
      </c>
      <c r="E109" s="19" t="s">
        <v>73</v>
      </c>
      <c r="G109" s="19" t="s">
        <v>33</v>
      </c>
      <c r="H109" s="19" t="s">
        <v>47</v>
      </c>
      <c r="I109" s="19" t="s">
        <v>871</v>
      </c>
      <c r="J109" s="19" t="s">
        <v>872</v>
      </c>
      <c r="K109" s="19" t="s">
        <v>803</v>
      </c>
      <c r="L109" s="19" t="s">
        <v>873</v>
      </c>
      <c r="M109" s="19" t="n">
        <v>2014</v>
      </c>
      <c r="N109" s="19" t="n">
        <v>50</v>
      </c>
      <c r="O109" s="19" t="n">
        <v>50</v>
      </c>
      <c r="P109" s="19" t="n">
        <v>50000</v>
      </c>
      <c r="Q109" s="19" t="n">
        <v>50000</v>
      </c>
      <c r="R109" s="19" t="s">
        <v>39</v>
      </c>
      <c r="S109" s="19" t="s">
        <v>874</v>
      </c>
      <c r="T109" s="19" t="s">
        <v>875</v>
      </c>
      <c r="U109" s="19" t="n">
        <v>1400000</v>
      </c>
      <c r="V109" s="19" t="n">
        <v>300000</v>
      </c>
      <c r="W109" s="19" t="n">
        <v>200000</v>
      </c>
      <c r="X109" s="19" t="s">
        <v>447</v>
      </c>
      <c r="Y109" s="19" t="n">
        <v>200000</v>
      </c>
      <c r="Z109" s="19" t="n">
        <v>150000</v>
      </c>
      <c r="AA109" s="19" t="n">
        <v>100000</v>
      </c>
      <c r="AC109" s="85" t="n">
        <v>41828</v>
      </c>
      <c r="AD109" s="85" t="n">
        <v>42735</v>
      </c>
      <c r="AE109" s="19" t="n">
        <v>1</v>
      </c>
      <c r="AH109" s="19" t="n">
        <v>900000</v>
      </c>
      <c r="AI109" s="19" t="n">
        <v>500000</v>
      </c>
      <c r="AK109" s="85" t="n">
        <v>41827</v>
      </c>
      <c r="AL109" s="85" t="n">
        <v>42683</v>
      </c>
      <c r="AM109" s="19" t="n">
        <v>0.8516</v>
      </c>
      <c r="AN109" s="19" t="s">
        <v>876</v>
      </c>
      <c r="AO109" s="19" t="s">
        <v>877</v>
      </c>
      <c r="AP109" s="19" t="s">
        <v>336</v>
      </c>
      <c r="AQ109" s="85" t="n">
        <v>44558</v>
      </c>
      <c r="AR109" s="19" t="s">
        <v>325</v>
      </c>
      <c r="AS109" s="19" t="s">
        <v>807</v>
      </c>
      <c r="AT109" s="19" t="s">
        <v>313</v>
      </c>
      <c r="AV109" s="19" t="n">
        <v>6</v>
      </c>
      <c r="AW109" s="19" t="n">
        <v>6</v>
      </c>
      <c r="AY109" s="19" t="n">
        <v>2023</v>
      </c>
      <c r="AZ109" s="19" t="s">
        <v>535</v>
      </c>
      <c r="BA109" s="19" t="s">
        <v>449</v>
      </c>
      <c r="BB109" s="19" t="n">
        <v>0.0785</v>
      </c>
      <c r="BC109" s="85" t="n">
        <v>45426</v>
      </c>
      <c r="BD109" s="19" t="s">
        <v>450</v>
      </c>
    </row>
    <row r="110" customFormat="false" ht="12.8" hidden="false" customHeight="false" outlineLevel="0" collapsed="false">
      <c r="A110" s="19" t="s">
        <v>29</v>
      </c>
      <c r="B110" s="19" t="s">
        <v>4</v>
      </c>
      <c r="C110" s="19" t="s">
        <v>30</v>
      </c>
      <c r="D110" s="19" t="s">
        <v>85</v>
      </c>
      <c r="E110" s="19" t="s">
        <v>73</v>
      </c>
      <c r="G110" s="19" t="s">
        <v>33</v>
      </c>
      <c r="H110" s="19" t="s">
        <v>47</v>
      </c>
      <c r="I110" s="19" t="s">
        <v>878</v>
      </c>
      <c r="J110" s="19" t="s">
        <v>872</v>
      </c>
      <c r="K110" s="19" t="s">
        <v>803</v>
      </c>
      <c r="L110" s="19" t="s">
        <v>873</v>
      </c>
      <c r="M110" s="19" t="n">
        <v>2014</v>
      </c>
      <c r="N110" s="19" t="n">
        <v>50</v>
      </c>
      <c r="O110" s="19" t="n">
        <v>50</v>
      </c>
      <c r="P110" s="19" t="n">
        <v>10000</v>
      </c>
      <c r="Q110" s="19" t="n">
        <v>10000</v>
      </c>
      <c r="R110" s="19" t="s">
        <v>39</v>
      </c>
      <c r="S110" s="19" t="s">
        <v>879</v>
      </c>
      <c r="T110" s="19" t="s">
        <v>880</v>
      </c>
      <c r="U110" s="19" t="n">
        <v>850000</v>
      </c>
      <c r="V110" s="19" t="n">
        <v>200000</v>
      </c>
      <c r="W110" s="19" t="n">
        <v>200000</v>
      </c>
      <c r="X110" s="19" t="s">
        <v>447</v>
      </c>
      <c r="Y110" s="19" t="n">
        <v>200000</v>
      </c>
      <c r="Z110" s="19" t="n">
        <v>150000</v>
      </c>
      <c r="AA110" s="19" t="n">
        <v>100000</v>
      </c>
      <c r="AC110" s="85" t="n">
        <v>41828</v>
      </c>
      <c r="AD110" s="85" t="n">
        <v>42735</v>
      </c>
      <c r="AE110" s="19" t="n">
        <v>1</v>
      </c>
      <c r="AH110" s="19" t="n">
        <v>900000</v>
      </c>
      <c r="AI110" s="19" t="n">
        <v>500000</v>
      </c>
      <c r="AK110" s="85" t="n">
        <v>41827</v>
      </c>
      <c r="AL110" s="85" t="n">
        <v>42684</v>
      </c>
      <c r="AM110" s="19" t="n">
        <v>0.853</v>
      </c>
      <c r="AN110" s="19" t="s">
        <v>881</v>
      </c>
      <c r="AO110" s="19" t="s">
        <v>882</v>
      </c>
      <c r="AP110" s="19" t="s">
        <v>336</v>
      </c>
      <c r="AQ110" s="85" t="n">
        <v>44558</v>
      </c>
      <c r="AR110" s="19" t="s">
        <v>325</v>
      </c>
      <c r="AS110" s="19" t="s">
        <v>807</v>
      </c>
      <c r="AT110" s="19" t="s">
        <v>313</v>
      </c>
      <c r="AV110" s="19" t="n">
        <v>6</v>
      </c>
      <c r="AW110" s="19" t="n">
        <v>6</v>
      </c>
      <c r="AY110" s="19" t="n">
        <v>2023</v>
      </c>
      <c r="AZ110" s="19" t="s">
        <v>448</v>
      </c>
      <c r="BA110" s="19" t="s">
        <v>449</v>
      </c>
      <c r="BB110" s="19" t="n">
        <v>0.9883</v>
      </c>
      <c r="BC110" s="85" t="n">
        <v>45426</v>
      </c>
      <c r="BD110" s="19" t="s">
        <v>450</v>
      </c>
    </row>
    <row r="111" customFormat="false" ht="12.8" hidden="false" customHeight="false" outlineLevel="0" collapsed="false">
      <c r="A111" s="19" t="s">
        <v>29</v>
      </c>
      <c r="B111" s="19" t="s">
        <v>4</v>
      </c>
      <c r="C111" s="19" t="s">
        <v>43</v>
      </c>
      <c r="D111" s="19" t="s">
        <v>758</v>
      </c>
      <c r="E111" s="19" t="s">
        <v>45</v>
      </c>
      <c r="G111" s="19" t="s">
        <v>80</v>
      </c>
      <c r="H111" s="19" t="s">
        <v>47</v>
      </c>
      <c r="I111" s="19" t="s">
        <v>883</v>
      </c>
      <c r="J111" s="19" t="s">
        <v>884</v>
      </c>
      <c r="K111" s="19" t="s">
        <v>761</v>
      </c>
      <c r="L111" s="19" t="s">
        <v>885</v>
      </c>
      <c r="M111" s="19" t="n">
        <v>2014</v>
      </c>
      <c r="N111" s="19" t="n">
        <v>58</v>
      </c>
      <c r="O111" s="19" t="n">
        <v>58</v>
      </c>
      <c r="P111" s="19" t="n">
        <v>39080</v>
      </c>
      <c r="Q111" s="19" t="n">
        <v>39080</v>
      </c>
      <c r="R111" s="19" t="s">
        <v>39</v>
      </c>
      <c r="S111" s="19" t="s">
        <v>508</v>
      </c>
      <c r="T111" s="19" t="s">
        <v>508</v>
      </c>
      <c r="U111" s="19" t="n">
        <v>290000</v>
      </c>
      <c r="V111" s="19" t="n">
        <v>463536</v>
      </c>
      <c r="W111" s="19" t="n">
        <v>232000</v>
      </c>
      <c r="X111" s="19" t="s">
        <v>447</v>
      </c>
      <c r="Y111" s="19" t="n">
        <v>232000</v>
      </c>
      <c r="Z111" s="19" t="n">
        <v>174000</v>
      </c>
      <c r="AA111" s="19" t="n">
        <v>116000</v>
      </c>
      <c r="AC111" s="85" t="n">
        <v>41723</v>
      </c>
      <c r="AD111" s="85" t="n">
        <v>42735</v>
      </c>
      <c r="AE111" s="19" t="n">
        <v>1</v>
      </c>
      <c r="AH111" s="19" t="n">
        <v>0</v>
      </c>
      <c r="AI111" s="19" t="n">
        <v>290000</v>
      </c>
      <c r="AL111" s="85" t="n">
        <v>42692</v>
      </c>
      <c r="AM111" s="19" t="n">
        <v>0.8695</v>
      </c>
      <c r="AR111" s="19" t="s">
        <v>117</v>
      </c>
      <c r="AS111" s="19" t="s">
        <v>117</v>
      </c>
      <c r="AT111" s="19" t="s">
        <v>313</v>
      </c>
      <c r="AV111" s="19" t="n">
        <v>7</v>
      </c>
      <c r="AW111" s="19" t="n">
        <v>7</v>
      </c>
      <c r="AY111" s="19" t="n">
        <v>2023</v>
      </c>
      <c r="AZ111" s="19" t="s">
        <v>457</v>
      </c>
      <c r="BA111" s="19" t="s">
        <v>449</v>
      </c>
      <c r="BB111" s="19" t="n">
        <v>0.5976</v>
      </c>
      <c r="BC111" s="85" t="n">
        <v>45533</v>
      </c>
      <c r="BD111" s="19" t="s">
        <v>450</v>
      </c>
    </row>
    <row r="112" customFormat="false" ht="12.8" hidden="false" customHeight="false" outlineLevel="0" collapsed="false">
      <c r="A112" s="19" t="s">
        <v>29</v>
      </c>
      <c r="B112" s="19" t="s">
        <v>4</v>
      </c>
      <c r="C112" s="19" t="s">
        <v>43</v>
      </c>
      <c r="D112" s="19" t="s">
        <v>758</v>
      </c>
      <c r="E112" s="19" t="s">
        <v>45</v>
      </c>
      <c r="G112" s="19" t="s">
        <v>46</v>
      </c>
      <c r="H112" s="19" t="s">
        <v>47</v>
      </c>
      <c r="I112" s="19" t="s">
        <v>886</v>
      </c>
      <c r="J112" s="19" t="s">
        <v>760</v>
      </c>
      <c r="K112" s="19" t="s">
        <v>761</v>
      </c>
      <c r="L112" s="19" t="s">
        <v>887</v>
      </c>
      <c r="M112" s="19" t="n">
        <v>2014</v>
      </c>
      <c r="N112" s="19" t="n">
        <v>100</v>
      </c>
      <c r="O112" s="19" t="n">
        <v>100</v>
      </c>
      <c r="P112" s="19" t="n">
        <v>100000</v>
      </c>
      <c r="Q112" s="19" t="n">
        <v>100000</v>
      </c>
      <c r="R112" s="19" t="s">
        <v>39</v>
      </c>
      <c r="S112" s="19" t="s">
        <v>888</v>
      </c>
      <c r="T112" s="19" t="s">
        <v>889</v>
      </c>
      <c r="U112" s="19" t="n">
        <v>1500000</v>
      </c>
      <c r="V112" s="19" t="n">
        <v>600000</v>
      </c>
      <c r="W112" s="19" t="n">
        <v>400000</v>
      </c>
      <c r="X112" s="19" t="s">
        <v>447</v>
      </c>
      <c r="Y112" s="19" t="n">
        <v>400000</v>
      </c>
      <c r="Z112" s="19" t="n">
        <v>300000</v>
      </c>
      <c r="AA112" s="19" t="n">
        <v>200000</v>
      </c>
      <c r="AC112" s="85" t="n">
        <v>41800</v>
      </c>
      <c r="AD112" s="85" t="n">
        <v>42735</v>
      </c>
      <c r="AE112" s="19" t="n">
        <v>1</v>
      </c>
      <c r="AH112" s="19" t="n">
        <v>1500000</v>
      </c>
      <c r="AI112" s="19" t="n">
        <v>0</v>
      </c>
      <c r="AK112" s="85" t="n">
        <v>41800</v>
      </c>
      <c r="AL112" s="85" t="n">
        <v>42691</v>
      </c>
      <c r="AM112" s="19" t="n">
        <v>0.865</v>
      </c>
      <c r="AR112" s="19" t="s">
        <v>117</v>
      </c>
      <c r="AS112" s="19" t="s">
        <v>117</v>
      </c>
      <c r="AT112" s="19" t="s">
        <v>313</v>
      </c>
      <c r="AV112" s="19" t="n">
        <v>11</v>
      </c>
      <c r="AW112" s="19" t="n">
        <v>11</v>
      </c>
      <c r="AY112" s="19" t="n">
        <v>2023</v>
      </c>
      <c r="AZ112" s="19" t="s">
        <v>476</v>
      </c>
      <c r="BA112" s="19" t="s">
        <v>449</v>
      </c>
      <c r="BB112" s="19" t="n">
        <v>0.4938</v>
      </c>
      <c r="BC112" s="85" t="n">
        <v>45533</v>
      </c>
      <c r="BD112" s="19" t="s">
        <v>450</v>
      </c>
    </row>
    <row r="113" customFormat="false" ht="12.8" hidden="false" customHeight="false" outlineLevel="0" collapsed="false">
      <c r="A113" s="19" t="s">
        <v>29</v>
      </c>
      <c r="B113" s="19" t="s">
        <v>4</v>
      </c>
      <c r="C113" s="19" t="s">
        <v>30</v>
      </c>
      <c r="D113" s="19" t="s">
        <v>238</v>
      </c>
      <c r="E113" s="19" t="s">
        <v>67</v>
      </c>
      <c r="G113" s="19" t="s">
        <v>33</v>
      </c>
      <c r="H113" s="19" t="s">
        <v>47</v>
      </c>
      <c r="I113" s="19" t="s">
        <v>890</v>
      </c>
      <c r="J113" s="19" t="s">
        <v>891</v>
      </c>
      <c r="K113" s="19" t="s">
        <v>892</v>
      </c>
      <c r="L113" s="19" t="s">
        <v>893</v>
      </c>
      <c r="M113" s="19" t="n">
        <v>2015</v>
      </c>
      <c r="N113" s="19" t="n">
        <v>50</v>
      </c>
      <c r="O113" s="19" t="n">
        <v>50</v>
      </c>
      <c r="P113" s="19" t="n">
        <v>10000</v>
      </c>
      <c r="Q113" s="19" t="n">
        <v>10000</v>
      </c>
      <c r="R113" s="19" t="s">
        <v>39</v>
      </c>
      <c r="S113" s="19" t="s">
        <v>93</v>
      </c>
      <c r="T113" s="19" t="s">
        <v>894</v>
      </c>
      <c r="U113" s="19" t="n">
        <v>700000</v>
      </c>
      <c r="V113" s="19" t="n">
        <v>250000</v>
      </c>
      <c r="W113" s="19" t="n">
        <v>150000</v>
      </c>
      <c r="X113" s="19" t="s">
        <v>447</v>
      </c>
      <c r="Y113" s="19" t="n">
        <v>450000</v>
      </c>
      <c r="Z113" s="19" t="n">
        <v>150000</v>
      </c>
      <c r="AA113" s="19" t="n">
        <v>100000</v>
      </c>
      <c r="AC113" s="85" t="n">
        <v>42144</v>
      </c>
      <c r="AD113" s="85" t="n">
        <v>43100</v>
      </c>
      <c r="AE113" s="19" t="n">
        <v>1</v>
      </c>
      <c r="AH113" s="19" t="n">
        <v>250000</v>
      </c>
      <c r="AL113" s="85" t="n">
        <v>43020</v>
      </c>
      <c r="AM113" s="19" t="n">
        <v>0.8522</v>
      </c>
      <c r="AN113" s="19" t="s">
        <v>895</v>
      </c>
      <c r="AO113" s="19" t="s">
        <v>896</v>
      </c>
      <c r="AR113" s="19" t="s">
        <v>117</v>
      </c>
      <c r="AS113" s="19" t="s">
        <v>117</v>
      </c>
      <c r="AT113" s="19" t="s">
        <v>313</v>
      </c>
      <c r="AV113" s="19" t="n">
        <v>6</v>
      </c>
      <c r="AW113" s="19" t="n">
        <v>6</v>
      </c>
      <c r="AY113" s="19" t="n">
        <v>2023</v>
      </c>
      <c r="AZ113" s="19" t="s">
        <v>476</v>
      </c>
      <c r="BA113" s="19" t="s">
        <v>480</v>
      </c>
      <c r="BB113" s="19" t="n">
        <v>0.3708</v>
      </c>
      <c r="BC113" s="85" t="n">
        <v>45543</v>
      </c>
      <c r="BD113" s="19" t="s">
        <v>450</v>
      </c>
    </row>
    <row r="114" customFormat="false" ht="12.8" hidden="false" customHeight="false" outlineLevel="0" collapsed="false">
      <c r="A114" s="19" t="s">
        <v>29</v>
      </c>
      <c r="B114" s="19" t="s">
        <v>4</v>
      </c>
      <c r="C114" s="19" t="s">
        <v>30</v>
      </c>
      <c r="D114" s="19" t="s">
        <v>151</v>
      </c>
      <c r="E114" s="19" t="s">
        <v>32</v>
      </c>
      <c r="G114" s="19" t="s">
        <v>33</v>
      </c>
      <c r="H114" s="19" t="s">
        <v>47</v>
      </c>
      <c r="I114" s="19" t="s">
        <v>897</v>
      </c>
      <c r="J114" s="19" t="s">
        <v>828</v>
      </c>
      <c r="K114" s="19" t="s">
        <v>318</v>
      </c>
      <c r="L114" s="19" t="s">
        <v>898</v>
      </c>
      <c r="M114" s="19" t="n">
        <v>2015</v>
      </c>
      <c r="N114" s="19" t="n">
        <v>200</v>
      </c>
      <c r="O114" s="19" t="n">
        <v>200</v>
      </c>
      <c r="P114" s="19" t="n">
        <v>200000</v>
      </c>
      <c r="Q114" s="19" t="n">
        <v>200000</v>
      </c>
      <c r="R114" s="19" t="s">
        <v>39</v>
      </c>
      <c r="S114" s="19" t="s">
        <v>40</v>
      </c>
      <c r="T114" s="19" t="s">
        <v>154</v>
      </c>
      <c r="U114" s="19" t="n">
        <v>3800000</v>
      </c>
      <c r="V114" s="19" t="n">
        <v>2000000</v>
      </c>
      <c r="W114" s="19" t="n">
        <v>600000</v>
      </c>
      <c r="X114" s="19" t="s">
        <v>447</v>
      </c>
      <c r="Y114" s="19" t="n">
        <v>2800000</v>
      </c>
      <c r="Z114" s="19" t="n">
        <v>600000</v>
      </c>
      <c r="AA114" s="19" t="n">
        <v>400000</v>
      </c>
      <c r="AC114" s="85" t="n">
        <v>42129</v>
      </c>
      <c r="AD114" s="85" t="n">
        <v>43100</v>
      </c>
      <c r="AE114" s="19" t="n">
        <v>1</v>
      </c>
      <c r="AL114" s="85" t="n">
        <v>43050</v>
      </c>
      <c r="AM114" s="19" t="n">
        <v>0.87</v>
      </c>
      <c r="AR114" s="19" t="s">
        <v>117</v>
      </c>
      <c r="AS114" s="19" t="s">
        <v>117</v>
      </c>
      <c r="AT114" s="19" t="s">
        <v>313</v>
      </c>
      <c r="AV114" s="19" t="n">
        <v>21</v>
      </c>
      <c r="AW114" s="19" t="n">
        <v>21</v>
      </c>
      <c r="AY114" s="19" t="n">
        <v>2023</v>
      </c>
      <c r="AZ114" s="19" t="s">
        <v>535</v>
      </c>
      <c r="BA114" s="19" t="s">
        <v>449</v>
      </c>
      <c r="BB114" s="19" t="n">
        <v>0.0396</v>
      </c>
      <c r="BC114" s="85" t="n">
        <v>45552</v>
      </c>
      <c r="BD114" s="19" t="s">
        <v>450</v>
      </c>
    </row>
    <row r="115" customFormat="false" ht="12.8" hidden="false" customHeight="false" outlineLevel="0" collapsed="false">
      <c r="A115" s="19" t="s">
        <v>29</v>
      </c>
      <c r="B115" s="19" t="s">
        <v>4</v>
      </c>
      <c r="C115" s="19" t="s">
        <v>30</v>
      </c>
      <c r="D115" s="19" t="s">
        <v>151</v>
      </c>
      <c r="E115" s="19" t="s">
        <v>32</v>
      </c>
      <c r="G115" s="19" t="s">
        <v>33</v>
      </c>
      <c r="H115" s="19" t="s">
        <v>47</v>
      </c>
      <c r="I115" s="19" t="s">
        <v>899</v>
      </c>
      <c r="J115" s="19" t="s">
        <v>828</v>
      </c>
      <c r="K115" s="19" t="s">
        <v>318</v>
      </c>
      <c r="L115" s="19" t="s">
        <v>898</v>
      </c>
      <c r="M115" s="19" t="n">
        <v>2015</v>
      </c>
      <c r="N115" s="19" t="n">
        <v>200</v>
      </c>
      <c r="O115" s="19" t="n">
        <v>200</v>
      </c>
      <c r="P115" s="19" t="n">
        <v>200000</v>
      </c>
      <c r="Q115" s="19" t="n">
        <v>200000</v>
      </c>
      <c r="R115" s="19" t="s">
        <v>39</v>
      </c>
      <c r="S115" s="19" t="s">
        <v>717</v>
      </c>
      <c r="T115" s="19" t="s">
        <v>900</v>
      </c>
      <c r="U115" s="19" t="n">
        <v>3000000</v>
      </c>
      <c r="V115" s="19" t="n">
        <v>1200000</v>
      </c>
      <c r="W115" s="19" t="n">
        <v>600000</v>
      </c>
      <c r="X115" s="19" t="s">
        <v>447</v>
      </c>
      <c r="Y115" s="19" t="n">
        <v>1800000</v>
      </c>
      <c r="Z115" s="19" t="n">
        <v>600000</v>
      </c>
      <c r="AA115" s="19" t="n">
        <v>400000</v>
      </c>
      <c r="AC115" s="85" t="n">
        <v>42129</v>
      </c>
      <c r="AD115" s="85" t="n">
        <v>43100</v>
      </c>
      <c r="AE115" s="19" t="n">
        <v>1</v>
      </c>
      <c r="AL115" s="85" t="n">
        <v>43049</v>
      </c>
      <c r="AR115" s="19" t="s">
        <v>117</v>
      </c>
      <c r="AS115" s="19" t="s">
        <v>117</v>
      </c>
      <c r="AT115" s="19" t="s">
        <v>313</v>
      </c>
      <c r="AV115" s="19" t="n">
        <v>21</v>
      </c>
      <c r="AW115" s="19" t="n">
        <v>21</v>
      </c>
      <c r="AY115" s="19" t="n">
        <v>2023</v>
      </c>
      <c r="AZ115" s="19" t="s">
        <v>535</v>
      </c>
      <c r="BA115" s="19" t="s">
        <v>449</v>
      </c>
      <c r="BB115" s="19" t="n">
        <v>0.0421</v>
      </c>
      <c r="BC115" s="85" t="n">
        <v>45553</v>
      </c>
      <c r="BD115" s="19" t="s">
        <v>450</v>
      </c>
    </row>
    <row r="116" customFormat="false" ht="12.8" hidden="false" customHeight="false" outlineLevel="0" collapsed="false">
      <c r="A116" s="19" t="s">
        <v>29</v>
      </c>
      <c r="B116" s="19" t="s">
        <v>4</v>
      </c>
      <c r="C116" s="19" t="s">
        <v>30</v>
      </c>
      <c r="D116" s="19" t="s">
        <v>151</v>
      </c>
      <c r="E116" s="19" t="s">
        <v>32</v>
      </c>
      <c r="G116" s="19" t="s">
        <v>33</v>
      </c>
      <c r="H116" s="19" t="s">
        <v>34</v>
      </c>
      <c r="I116" s="19" t="s">
        <v>901</v>
      </c>
      <c r="J116" s="19" t="s">
        <v>828</v>
      </c>
      <c r="K116" s="19" t="s">
        <v>318</v>
      </c>
      <c r="L116" s="19" t="s">
        <v>898</v>
      </c>
      <c r="M116" s="19" t="n">
        <v>2015</v>
      </c>
      <c r="N116" s="19" t="n">
        <v>100</v>
      </c>
      <c r="O116" s="19" t="n">
        <v>100</v>
      </c>
      <c r="P116" s="19" t="n">
        <v>100000</v>
      </c>
      <c r="Q116" s="19" t="n">
        <v>100000</v>
      </c>
      <c r="R116" s="19" t="s">
        <v>39</v>
      </c>
      <c r="S116" s="19" t="s">
        <v>717</v>
      </c>
      <c r="T116" s="19" t="s">
        <v>845</v>
      </c>
      <c r="U116" s="19" t="n">
        <v>1500000</v>
      </c>
      <c r="V116" s="19" t="n">
        <v>600000</v>
      </c>
      <c r="W116" s="19" t="n">
        <v>300000</v>
      </c>
      <c r="X116" s="19" t="s">
        <v>447</v>
      </c>
      <c r="Y116" s="19" t="n">
        <v>1000000</v>
      </c>
      <c r="Z116" s="19" t="n">
        <v>300000</v>
      </c>
      <c r="AA116" s="19" t="n">
        <v>200000</v>
      </c>
      <c r="AC116" s="85" t="n">
        <v>42129</v>
      </c>
      <c r="AD116" s="85" t="n">
        <v>43100</v>
      </c>
      <c r="AE116" s="19" t="n">
        <v>1</v>
      </c>
      <c r="AL116" s="85" t="n">
        <v>43048</v>
      </c>
      <c r="AM116" s="19" t="n">
        <v>0.853</v>
      </c>
      <c r="AN116" s="19" t="s">
        <v>902</v>
      </c>
      <c r="AO116" s="19" t="s">
        <v>903</v>
      </c>
      <c r="AR116" s="19" t="s">
        <v>117</v>
      </c>
      <c r="AS116" s="19" t="s">
        <v>117</v>
      </c>
      <c r="AT116" s="19" t="s">
        <v>313</v>
      </c>
      <c r="AV116" s="19" t="n">
        <v>11</v>
      </c>
      <c r="AW116" s="19" t="n">
        <v>11</v>
      </c>
      <c r="AY116" s="19" t="n">
        <v>2023</v>
      </c>
      <c r="AZ116" s="19" t="s">
        <v>476</v>
      </c>
      <c r="BA116" s="19" t="s">
        <v>480</v>
      </c>
      <c r="BB116" s="19" t="n">
        <v>0.099</v>
      </c>
      <c r="BC116" s="85" t="n">
        <v>45550</v>
      </c>
      <c r="BD116" s="19" t="s">
        <v>450</v>
      </c>
    </row>
    <row r="117" customFormat="false" ht="57.45" hidden="false" customHeight="false" outlineLevel="0" collapsed="false">
      <c r="A117" s="19" t="s">
        <v>29</v>
      </c>
      <c r="B117" s="19" t="s">
        <v>4</v>
      </c>
      <c r="C117" s="19" t="s">
        <v>30</v>
      </c>
      <c r="D117" s="19" t="s">
        <v>186</v>
      </c>
      <c r="E117" s="19" t="s">
        <v>32</v>
      </c>
      <c r="G117" s="19" t="s">
        <v>33</v>
      </c>
      <c r="H117" s="19" t="s">
        <v>34</v>
      </c>
      <c r="I117" s="19" t="s">
        <v>904</v>
      </c>
      <c r="J117" s="19" t="s">
        <v>835</v>
      </c>
      <c r="K117" s="19" t="s">
        <v>388</v>
      </c>
      <c r="L117" s="19" t="s">
        <v>905</v>
      </c>
      <c r="M117" s="19" t="n">
        <v>2015</v>
      </c>
      <c r="N117" s="19" t="n">
        <v>365</v>
      </c>
      <c r="O117" s="19" t="n">
        <v>365</v>
      </c>
      <c r="P117" s="19" t="n">
        <v>365000</v>
      </c>
      <c r="Q117" s="19" t="n">
        <v>365000</v>
      </c>
      <c r="R117" s="19" t="s">
        <v>39</v>
      </c>
      <c r="S117" s="19" t="s">
        <v>40</v>
      </c>
      <c r="T117" s="19" t="s">
        <v>906</v>
      </c>
      <c r="U117" s="19" t="n">
        <v>6935000</v>
      </c>
      <c r="V117" s="19" t="n">
        <v>3650000</v>
      </c>
      <c r="W117" s="19" t="n">
        <v>1095000</v>
      </c>
      <c r="X117" s="19" t="s">
        <v>447</v>
      </c>
      <c r="Y117" s="19" t="n">
        <v>1460000</v>
      </c>
      <c r="Z117" s="19" t="n">
        <v>1095000</v>
      </c>
      <c r="AA117" s="19" t="n">
        <v>730000</v>
      </c>
      <c r="AC117" s="85" t="n">
        <v>42129</v>
      </c>
      <c r="AD117" s="85" t="n">
        <v>43100</v>
      </c>
      <c r="AE117" s="19" t="n">
        <v>1</v>
      </c>
      <c r="AG117" s="85" t="n">
        <v>44060</v>
      </c>
      <c r="AH117" s="19" t="n">
        <v>0</v>
      </c>
      <c r="AI117" s="19" t="n">
        <v>15050000</v>
      </c>
      <c r="AM117" s="19" t="n">
        <v>0.8589</v>
      </c>
      <c r="AN117" s="84" t="s">
        <v>907</v>
      </c>
      <c r="AO117" s="19" t="s">
        <v>908</v>
      </c>
      <c r="AR117" s="19" t="s">
        <v>311</v>
      </c>
      <c r="AS117" s="19" t="s">
        <v>317</v>
      </c>
      <c r="AT117" s="19" t="s">
        <v>313</v>
      </c>
      <c r="AV117" s="19" t="n">
        <v>37</v>
      </c>
      <c r="AW117" s="19" t="n">
        <v>37</v>
      </c>
      <c r="AY117" s="19" t="n">
        <v>2023</v>
      </c>
      <c r="AZ117" s="19" t="s">
        <v>490</v>
      </c>
      <c r="BA117" s="19" t="s">
        <v>480</v>
      </c>
      <c r="BB117" s="19" t="n">
        <v>0.0013</v>
      </c>
      <c r="BC117" s="85" t="n">
        <v>45480</v>
      </c>
      <c r="BD117" s="19" t="s">
        <v>450</v>
      </c>
    </row>
    <row r="118" customFormat="false" ht="12.8" hidden="false" customHeight="false" outlineLevel="0" collapsed="false">
      <c r="A118" s="19" t="s">
        <v>29</v>
      </c>
      <c r="B118" s="19" t="s">
        <v>4</v>
      </c>
      <c r="C118" s="19" t="s">
        <v>30</v>
      </c>
      <c r="D118" s="19" t="s">
        <v>186</v>
      </c>
      <c r="E118" s="19" t="s">
        <v>32</v>
      </c>
      <c r="G118" s="19" t="s">
        <v>33</v>
      </c>
      <c r="H118" s="19" t="s">
        <v>34</v>
      </c>
      <c r="I118" s="19" t="s">
        <v>909</v>
      </c>
      <c r="J118" s="19" t="s">
        <v>835</v>
      </c>
      <c r="K118" s="19" t="s">
        <v>388</v>
      </c>
      <c r="L118" s="19" t="s">
        <v>905</v>
      </c>
      <c r="M118" s="19" t="n">
        <v>2015</v>
      </c>
      <c r="N118" s="19" t="n">
        <v>132</v>
      </c>
      <c r="O118" s="19" t="n">
        <v>132</v>
      </c>
      <c r="P118" s="19" t="n">
        <v>132000</v>
      </c>
      <c r="Q118" s="19" t="n">
        <v>132000</v>
      </c>
      <c r="R118" s="19" t="s">
        <v>39</v>
      </c>
      <c r="S118" s="19" t="s">
        <v>527</v>
      </c>
      <c r="T118" s="19" t="s">
        <v>910</v>
      </c>
      <c r="U118" s="19" t="n">
        <v>1980000</v>
      </c>
      <c r="V118" s="19" t="n">
        <v>792000</v>
      </c>
      <c r="W118" s="19" t="n">
        <v>396000</v>
      </c>
      <c r="X118" s="19" t="s">
        <v>447</v>
      </c>
      <c r="Y118" s="19" t="n">
        <v>528000</v>
      </c>
      <c r="Z118" s="19" t="n">
        <v>396000</v>
      </c>
      <c r="AA118" s="19" t="n">
        <v>264000</v>
      </c>
      <c r="AC118" s="85" t="n">
        <v>42108</v>
      </c>
      <c r="AD118" s="85" t="n">
        <v>43100</v>
      </c>
      <c r="AE118" s="19" t="n">
        <v>1</v>
      </c>
      <c r="AM118" s="19" t="n">
        <v>0.8512</v>
      </c>
      <c r="AR118" s="19" t="s">
        <v>311</v>
      </c>
      <c r="AS118" s="19" t="s">
        <v>317</v>
      </c>
      <c r="AT118" s="19" t="s">
        <v>313</v>
      </c>
      <c r="AV118" s="19" t="n">
        <v>14</v>
      </c>
      <c r="AW118" s="19" t="n">
        <v>14</v>
      </c>
      <c r="AY118" s="19" t="n">
        <v>2023</v>
      </c>
      <c r="AZ118" s="19" t="s">
        <v>535</v>
      </c>
      <c r="BA118" s="19" t="s">
        <v>480</v>
      </c>
      <c r="BB118" s="19" t="n">
        <v>0.0313</v>
      </c>
      <c r="BC118" s="85" t="n">
        <v>45473</v>
      </c>
      <c r="BD118" s="19" t="s">
        <v>450</v>
      </c>
    </row>
    <row r="119" customFormat="false" ht="91" hidden="false" customHeight="false" outlineLevel="0" collapsed="false">
      <c r="A119" s="19" t="s">
        <v>29</v>
      </c>
      <c r="B119" s="19" t="s">
        <v>4</v>
      </c>
      <c r="C119" s="19" t="s">
        <v>30</v>
      </c>
      <c r="D119" s="19" t="s">
        <v>186</v>
      </c>
      <c r="E119" s="19" t="s">
        <v>32</v>
      </c>
      <c r="G119" s="19" t="s">
        <v>33</v>
      </c>
      <c r="H119" s="19" t="s">
        <v>47</v>
      </c>
      <c r="I119" s="19" t="s">
        <v>911</v>
      </c>
      <c r="J119" s="19" t="s">
        <v>851</v>
      </c>
      <c r="K119" s="19" t="s">
        <v>388</v>
      </c>
      <c r="L119" s="19" t="s">
        <v>905</v>
      </c>
      <c r="M119" s="19" t="n">
        <v>2015</v>
      </c>
      <c r="N119" s="19" t="n">
        <v>409</v>
      </c>
      <c r="O119" s="19" t="n">
        <v>409</v>
      </c>
      <c r="P119" s="19" t="n">
        <v>409100</v>
      </c>
      <c r="Q119" s="19" t="n">
        <v>409100</v>
      </c>
      <c r="R119" s="19" t="s">
        <v>39</v>
      </c>
      <c r="S119" s="19" t="s">
        <v>527</v>
      </c>
      <c r="T119" s="19" t="s">
        <v>912</v>
      </c>
      <c r="U119" s="19" t="n">
        <v>6135000</v>
      </c>
      <c r="V119" s="19" t="n">
        <v>2454000</v>
      </c>
      <c r="W119" s="19" t="n">
        <v>1227000</v>
      </c>
      <c r="X119" s="19" t="s">
        <v>447</v>
      </c>
      <c r="Y119" s="19" t="n">
        <v>1636000</v>
      </c>
      <c r="Z119" s="19" t="n">
        <v>1227000</v>
      </c>
      <c r="AA119" s="19" t="n">
        <v>818000</v>
      </c>
      <c r="AC119" s="85" t="n">
        <v>42094</v>
      </c>
      <c r="AD119" s="85" t="n">
        <v>43100</v>
      </c>
      <c r="AE119" s="19" t="n">
        <v>1</v>
      </c>
      <c r="AM119" s="19" t="n">
        <v>0.8553</v>
      </c>
      <c r="AN119" s="84" t="s">
        <v>913</v>
      </c>
      <c r="AO119" s="84" t="s">
        <v>914</v>
      </c>
      <c r="AR119" s="19" t="s">
        <v>915</v>
      </c>
      <c r="AS119" s="19" t="s">
        <v>916</v>
      </c>
      <c r="AT119" s="19" t="s">
        <v>313</v>
      </c>
      <c r="AV119" s="19" t="n">
        <v>42</v>
      </c>
      <c r="AW119" s="19" t="n">
        <v>42</v>
      </c>
      <c r="AY119" s="19" t="n">
        <v>2023</v>
      </c>
      <c r="AZ119" s="19" t="s">
        <v>535</v>
      </c>
      <c r="BA119" s="19" t="s">
        <v>480</v>
      </c>
      <c r="BB119" s="19" t="n">
        <v>0.0531</v>
      </c>
      <c r="BC119" s="85" t="n">
        <v>45418</v>
      </c>
      <c r="BD119" s="19" t="s">
        <v>450</v>
      </c>
    </row>
    <row r="120" customFormat="false" ht="12.8" hidden="false" customHeight="false" outlineLevel="0" collapsed="false">
      <c r="A120" s="19" t="s">
        <v>29</v>
      </c>
      <c r="B120" s="19" t="s">
        <v>4</v>
      </c>
      <c r="C120" s="19" t="s">
        <v>30</v>
      </c>
      <c r="D120" s="19" t="s">
        <v>31</v>
      </c>
      <c r="E120" s="19" t="s">
        <v>32</v>
      </c>
      <c r="G120" s="19" t="s">
        <v>33</v>
      </c>
      <c r="H120" s="19" t="s">
        <v>47</v>
      </c>
      <c r="I120" s="19" t="s">
        <v>917</v>
      </c>
      <c r="J120" s="19" t="s">
        <v>36</v>
      </c>
      <c r="K120" s="19" t="s">
        <v>504</v>
      </c>
      <c r="L120" s="19" t="s">
        <v>918</v>
      </c>
      <c r="M120" s="19" t="n">
        <v>2015</v>
      </c>
      <c r="N120" s="19" t="n">
        <v>190</v>
      </c>
      <c r="O120" s="19" t="n">
        <v>190</v>
      </c>
      <c r="P120" s="19" t="n">
        <v>190000</v>
      </c>
      <c r="Q120" s="19" t="n">
        <v>190000</v>
      </c>
      <c r="R120" s="19" t="s">
        <v>39</v>
      </c>
      <c r="S120" s="19" t="s">
        <v>527</v>
      </c>
      <c r="T120" s="19" t="s">
        <v>919</v>
      </c>
      <c r="U120" s="19" t="n">
        <v>2850000</v>
      </c>
      <c r="V120" s="19" t="n">
        <v>1140000</v>
      </c>
      <c r="W120" s="19" t="n">
        <v>570000</v>
      </c>
      <c r="X120" s="19" t="s">
        <v>447</v>
      </c>
      <c r="Y120" s="19" t="n">
        <v>760000</v>
      </c>
      <c r="Z120" s="19" t="n">
        <v>570000</v>
      </c>
      <c r="AA120" s="19" t="n">
        <v>380000</v>
      </c>
      <c r="AC120" s="85" t="n">
        <v>42094</v>
      </c>
      <c r="AD120" s="85" t="n">
        <v>43100</v>
      </c>
      <c r="AE120" s="19" t="n">
        <v>1</v>
      </c>
      <c r="AF120" s="19" t="n">
        <v>285000</v>
      </c>
      <c r="AG120" s="85" t="n">
        <v>44060</v>
      </c>
      <c r="AH120" s="19" t="n">
        <v>0</v>
      </c>
      <c r="AI120" s="19" t="n">
        <v>2850000</v>
      </c>
      <c r="AK120" s="85" t="n">
        <v>42093</v>
      </c>
      <c r="AL120" s="85" t="n">
        <v>43042</v>
      </c>
      <c r="AM120" s="19" t="n">
        <v>0.852</v>
      </c>
      <c r="AN120" s="19" t="s">
        <v>920</v>
      </c>
      <c r="AO120" s="19" t="s">
        <v>921</v>
      </c>
      <c r="AR120" s="19" t="s">
        <v>311</v>
      </c>
      <c r="AS120" s="19" t="s">
        <v>317</v>
      </c>
      <c r="AT120" s="19" t="s">
        <v>313</v>
      </c>
      <c r="AV120" s="19" t="n">
        <v>20</v>
      </c>
      <c r="AW120" s="19" t="n">
        <v>20</v>
      </c>
      <c r="AY120" s="19" t="n">
        <v>2023</v>
      </c>
      <c r="AZ120" s="19" t="s">
        <v>535</v>
      </c>
      <c r="BA120" s="19" t="s">
        <v>480</v>
      </c>
      <c r="BB120" s="19" t="n">
        <v>0.0954</v>
      </c>
      <c r="BC120" s="85" t="n">
        <v>45494</v>
      </c>
      <c r="BD120" s="19" t="s">
        <v>450</v>
      </c>
    </row>
    <row r="121" customFormat="false" ht="12.8" hidden="false" customHeight="false" outlineLevel="0" collapsed="false">
      <c r="A121" s="19" t="s">
        <v>29</v>
      </c>
      <c r="B121" s="19" t="s">
        <v>4</v>
      </c>
      <c r="C121" s="19" t="s">
        <v>43</v>
      </c>
      <c r="D121" s="19" t="s">
        <v>44</v>
      </c>
      <c r="E121" s="19" t="s">
        <v>45</v>
      </c>
      <c r="G121" s="19" t="s">
        <v>46</v>
      </c>
      <c r="H121" s="19" t="s">
        <v>47</v>
      </c>
      <c r="I121" s="19" t="s">
        <v>922</v>
      </c>
      <c r="J121" s="19" t="s">
        <v>49</v>
      </c>
      <c r="K121" s="19" t="s">
        <v>50</v>
      </c>
      <c r="L121" s="19" t="s">
        <v>923</v>
      </c>
      <c r="M121" s="19" t="n">
        <v>2015</v>
      </c>
      <c r="N121" s="19" t="n">
        <v>101</v>
      </c>
      <c r="O121" s="19" t="n">
        <v>101</v>
      </c>
      <c r="P121" s="19" t="n">
        <v>20200</v>
      </c>
      <c r="Q121" s="19" t="n">
        <v>20200</v>
      </c>
      <c r="R121" s="19" t="s">
        <v>39</v>
      </c>
      <c r="S121" s="19" t="s">
        <v>93</v>
      </c>
      <c r="T121" s="19" t="s">
        <v>894</v>
      </c>
      <c r="U121" s="19" t="n">
        <v>1414000</v>
      </c>
      <c r="V121" s="19" t="n">
        <v>505000</v>
      </c>
      <c r="W121" s="19" t="n">
        <v>303000</v>
      </c>
      <c r="X121" s="19" t="s">
        <v>447</v>
      </c>
      <c r="Y121" s="19" t="n">
        <v>404000</v>
      </c>
      <c r="Z121" s="19" t="n">
        <v>303000</v>
      </c>
      <c r="AA121" s="19" t="n">
        <v>202000</v>
      </c>
      <c r="AC121" s="85" t="n">
        <v>42094</v>
      </c>
      <c r="AD121" s="85" t="n">
        <v>43100</v>
      </c>
      <c r="AE121" s="19" t="n">
        <v>1</v>
      </c>
      <c r="AH121" s="19" t="n">
        <v>0</v>
      </c>
      <c r="AI121" s="19" t="n">
        <v>1414000</v>
      </c>
      <c r="AL121" s="85" t="n">
        <v>43021</v>
      </c>
      <c r="AM121" s="19" t="n">
        <v>0.855</v>
      </c>
      <c r="AQ121" s="85" t="n">
        <v>44558</v>
      </c>
      <c r="AR121" s="19" t="s">
        <v>325</v>
      </c>
      <c r="AS121" s="19" t="s">
        <v>924</v>
      </c>
      <c r="AT121" s="19" t="s">
        <v>313</v>
      </c>
      <c r="AV121" s="19" t="n">
        <v>11</v>
      </c>
      <c r="AW121" s="19" t="n">
        <v>11</v>
      </c>
      <c r="AY121" s="19" t="n">
        <v>2023</v>
      </c>
      <c r="AZ121" s="19" t="s">
        <v>476</v>
      </c>
      <c r="BA121" s="19" t="s">
        <v>449</v>
      </c>
      <c r="BB121" s="19" t="n">
        <v>0.7936</v>
      </c>
      <c r="BC121" s="85" t="n">
        <v>45534</v>
      </c>
      <c r="BD121" s="19" t="s">
        <v>450</v>
      </c>
    </row>
    <row r="122" customFormat="false" ht="12.8" hidden="false" customHeight="false" outlineLevel="0" collapsed="false">
      <c r="A122" s="19" t="s">
        <v>29</v>
      </c>
      <c r="B122" s="19" t="s">
        <v>4</v>
      </c>
      <c r="C122" s="19" t="s">
        <v>43</v>
      </c>
      <c r="D122" s="19" t="s">
        <v>758</v>
      </c>
      <c r="E122" s="19" t="s">
        <v>45</v>
      </c>
      <c r="G122" s="19" t="s">
        <v>80</v>
      </c>
      <c r="H122" s="19" t="s">
        <v>47</v>
      </c>
      <c r="I122" s="19" t="s">
        <v>925</v>
      </c>
      <c r="J122" s="19" t="s">
        <v>760</v>
      </c>
      <c r="K122" s="19" t="s">
        <v>761</v>
      </c>
      <c r="L122" s="19" t="s">
        <v>926</v>
      </c>
      <c r="M122" s="19" t="n">
        <v>2015</v>
      </c>
      <c r="N122" s="19" t="n">
        <v>50</v>
      </c>
      <c r="O122" s="19" t="n">
        <v>50</v>
      </c>
      <c r="P122" s="19" t="n">
        <v>50000</v>
      </c>
      <c r="Q122" s="19" t="n">
        <v>50000</v>
      </c>
      <c r="R122" s="19" t="s">
        <v>39</v>
      </c>
      <c r="S122" s="19" t="s">
        <v>40</v>
      </c>
      <c r="T122" s="19" t="s">
        <v>927</v>
      </c>
      <c r="U122" s="19" t="n">
        <v>1100000</v>
      </c>
      <c r="V122" s="19" t="n">
        <v>500000</v>
      </c>
      <c r="W122" s="19" t="n">
        <v>150000</v>
      </c>
      <c r="X122" s="19" t="s">
        <v>447</v>
      </c>
      <c r="Y122" s="19" t="n">
        <v>200000</v>
      </c>
      <c r="Z122" s="19" t="n">
        <v>150000</v>
      </c>
      <c r="AA122" s="19" t="n">
        <v>100000</v>
      </c>
      <c r="AC122" s="85" t="n">
        <v>42087</v>
      </c>
      <c r="AD122" s="85" t="n">
        <v>43100</v>
      </c>
      <c r="AE122" s="19" t="n">
        <v>1</v>
      </c>
      <c r="AH122" s="19" t="n">
        <v>950000</v>
      </c>
      <c r="AI122" s="19" t="n">
        <v>0</v>
      </c>
      <c r="AK122" s="85" t="n">
        <v>42077</v>
      </c>
      <c r="AL122" s="85" t="n">
        <v>43028</v>
      </c>
      <c r="AM122" s="19" t="n">
        <v>0.85</v>
      </c>
      <c r="AR122" s="19" t="s">
        <v>117</v>
      </c>
      <c r="AS122" s="19" t="s">
        <v>117</v>
      </c>
      <c r="AT122" s="19" t="s">
        <v>313</v>
      </c>
      <c r="AV122" s="19" t="n">
        <v>6</v>
      </c>
      <c r="AW122" s="19" t="n">
        <v>6</v>
      </c>
      <c r="AY122" s="19" t="n">
        <v>2023</v>
      </c>
      <c r="AZ122" s="19" t="s">
        <v>476</v>
      </c>
      <c r="BA122" s="19" t="s">
        <v>449</v>
      </c>
      <c r="BB122" s="19" t="n">
        <v>0.2063</v>
      </c>
      <c r="BC122" s="85" t="n">
        <v>45533</v>
      </c>
      <c r="BD122" s="19" t="s">
        <v>450</v>
      </c>
    </row>
    <row r="123" customFormat="false" ht="12.8" hidden="false" customHeight="false" outlineLevel="0" collapsed="false">
      <c r="A123" s="19" t="s">
        <v>29</v>
      </c>
      <c r="B123" s="19" t="s">
        <v>4</v>
      </c>
      <c r="C123" s="19" t="s">
        <v>30</v>
      </c>
      <c r="D123" s="19" t="s">
        <v>928</v>
      </c>
      <c r="E123" s="19" t="s">
        <v>204</v>
      </c>
      <c r="G123" s="19" t="s">
        <v>33</v>
      </c>
      <c r="H123" s="19" t="s">
        <v>47</v>
      </c>
      <c r="I123" s="19" t="s">
        <v>929</v>
      </c>
      <c r="J123" s="19" t="s">
        <v>930</v>
      </c>
      <c r="K123" s="19" t="s">
        <v>931</v>
      </c>
      <c r="L123" s="19" t="s">
        <v>932</v>
      </c>
      <c r="M123" s="19" t="n">
        <v>2015</v>
      </c>
      <c r="N123" s="19" t="n">
        <v>50</v>
      </c>
      <c r="O123" s="19" t="n">
        <v>50</v>
      </c>
      <c r="P123" s="19" t="n">
        <v>10000</v>
      </c>
      <c r="Q123" s="19" t="n">
        <v>10000</v>
      </c>
      <c r="R123" s="19" t="s">
        <v>39</v>
      </c>
      <c r="S123" s="19" t="s">
        <v>184</v>
      </c>
      <c r="T123" s="19" t="s">
        <v>185</v>
      </c>
      <c r="U123" s="19" t="n">
        <v>950000</v>
      </c>
      <c r="V123" s="19" t="n">
        <v>350000</v>
      </c>
      <c r="W123" s="19" t="n">
        <v>150000</v>
      </c>
      <c r="X123" s="19" t="s">
        <v>447</v>
      </c>
      <c r="Y123" s="19" t="n">
        <v>200000</v>
      </c>
      <c r="Z123" s="19" t="n">
        <v>150000</v>
      </c>
      <c r="AA123" s="19" t="n">
        <v>100000</v>
      </c>
      <c r="AC123" s="85" t="n">
        <v>42139</v>
      </c>
      <c r="AD123" s="85" t="n">
        <v>43100</v>
      </c>
      <c r="AE123" s="19" t="n">
        <v>1</v>
      </c>
      <c r="AK123" s="85" t="n">
        <v>42401</v>
      </c>
      <c r="AL123" s="85" t="n">
        <v>43026</v>
      </c>
      <c r="AM123" s="19" t="n">
        <v>0.875</v>
      </c>
      <c r="AN123" s="19" t="s">
        <v>933</v>
      </c>
      <c r="AO123" s="19" t="s">
        <v>934</v>
      </c>
      <c r="AR123" s="19" t="s">
        <v>117</v>
      </c>
      <c r="AS123" s="19" t="s">
        <v>117</v>
      </c>
      <c r="AT123" s="19" t="s">
        <v>313</v>
      </c>
      <c r="AV123" s="19" t="n">
        <v>6</v>
      </c>
      <c r="AW123" s="19" t="n">
        <v>6</v>
      </c>
      <c r="AY123" s="19" t="n">
        <v>2023</v>
      </c>
      <c r="AZ123" s="19" t="s">
        <v>457</v>
      </c>
      <c r="BA123" s="19" t="s">
        <v>501</v>
      </c>
      <c r="BB123" s="19" t="n">
        <v>0.1608</v>
      </c>
      <c r="BC123" s="85" t="n">
        <v>45560</v>
      </c>
      <c r="BD123" s="19" t="s">
        <v>450</v>
      </c>
    </row>
    <row r="124" customFormat="false" ht="12.8" hidden="false" customHeight="false" outlineLevel="0" collapsed="false">
      <c r="A124" s="19" t="s">
        <v>29</v>
      </c>
      <c r="B124" s="19" t="s">
        <v>4</v>
      </c>
      <c r="C124" s="19" t="s">
        <v>30</v>
      </c>
      <c r="D124" s="19" t="s">
        <v>177</v>
      </c>
      <c r="E124" s="19" t="s">
        <v>178</v>
      </c>
      <c r="G124" s="19" t="s">
        <v>33</v>
      </c>
      <c r="H124" s="19" t="s">
        <v>47</v>
      </c>
      <c r="I124" s="19" t="s">
        <v>935</v>
      </c>
      <c r="J124" s="19" t="s">
        <v>707</v>
      </c>
      <c r="K124" s="19" t="s">
        <v>936</v>
      </c>
      <c r="L124" s="19" t="s">
        <v>937</v>
      </c>
      <c r="M124" s="19" t="n">
        <v>2015</v>
      </c>
      <c r="N124" s="19" t="n">
        <v>50</v>
      </c>
      <c r="O124" s="19" t="n">
        <v>50</v>
      </c>
      <c r="P124" s="19" t="n">
        <v>10000</v>
      </c>
      <c r="Q124" s="19" t="n">
        <v>10000</v>
      </c>
      <c r="R124" s="19" t="s">
        <v>39</v>
      </c>
      <c r="S124" s="19" t="s">
        <v>93</v>
      </c>
      <c r="T124" s="19" t="s">
        <v>938</v>
      </c>
      <c r="U124" s="19" t="n">
        <v>850000</v>
      </c>
      <c r="V124" s="19" t="n">
        <v>250000</v>
      </c>
      <c r="W124" s="19" t="n">
        <v>150000</v>
      </c>
      <c r="X124" s="19" t="s">
        <v>447</v>
      </c>
      <c r="Y124" s="19" t="n">
        <v>200000</v>
      </c>
      <c r="Z124" s="19" t="n">
        <v>150000</v>
      </c>
      <c r="AA124" s="19" t="n">
        <v>100000</v>
      </c>
      <c r="AC124" s="85" t="n">
        <v>42090</v>
      </c>
      <c r="AD124" s="85" t="n">
        <v>43100</v>
      </c>
      <c r="AE124" s="19" t="n">
        <v>1</v>
      </c>
      <c r="AL124" s="85" t="n">
        <v>43027</v>
      </c>
      <c r="AM124" s="19" t="n">
        <v>0.8655</v>
      </c>
      <c r="AR124" s="19" t="s">
        <v>117</v>
      </c>
      <c r="AS124" s="19" t="s">
        <v>117</v>
      </c>
      <c r="AT124" s="19" t="s">
        <v>313</v>
      </c>
      <c r="AV124" s="19" t="n">
        <v>6</v>
      </c>
      <c r="AW124" s="19" t="n">
        <v>6</v>
      </c>
      <c r="AY124" s="19" t="n">
        <v>2023</v>
      </c>
      <c r="AZ124" s="19" t="s">
        <v>448</v>
      </c>
      <c r="BA124" s="19" t="s">
        <v>449</v>
      </c>
      <c r="BB124" s="19" t="n">
        <v>0.5283</v>
      </c>
      <c r="BC124" s="85" t="n">
        <v>45429</v>
      </c>
      <c r="BD124" s="19" t="s">
        <v>450</v>
      </c>
    </row>
    <row r="125" customFormat="false" ht="12.8" hidden="false" customHeight="false" outlineLevel="0" collapsed="false">
      <c r="A125" s="19" t="s">
        <v>29</v>
      </c>
      <c r="B125" s="19" t="s">
        <v>4</v>
      </c>
      <c r="C125" s="19" t="s">
        <v>30</v>
      </c>
      <c r="D125" s="19" t="s">
        <v>217</v>
      </c>
      <c r="E125" s="19" t="s">
        <v>32</v>
      </c>
      <c r="G125" s="19" t="s">
        <v>33</v>
      </c>
      <c r="H125" s="19" t="s">
        <v>47</v>
      </c>
      <c r="I125" s="19" t="s">
        <v>939</v>
      </c>
      <c r="J125" s="19" t="s">
        <v>36</v>
      </c>
      <c r="K125" s="19" t="s">
        <v>37</v>
      </c>
      <c r="L125" s="19" t="s">
        <v>940</v>
      </c>
      <c r="M125" s="19" t="n">
        <v>2015</v>
      </c>
      <c r="N125" s="19" t="n">
        <v>90</v>
      </c>
      <c r="O125" s="19" t="n">
        <v>90</v>
      </c>
      <c r="P125" s="19" t="n">
        <v>18000</v>
      </c>
      <c r="Q125" s="19" t="n">
        <v>18000</v>
      </c>
      <c r="R125" s="19" t="s">
        <v>52</v>
      </c>
      <c r="S125" s="19" t="s">
        <v>508</v>
      </c>
      <c r="T125" s="19" t="s">
        <v>941</v>
      </c>
      <c r="U125" s="19" t="n">
        <v>1530000</v>
      </c>
      <c r="V125" s="19" t="n">
        <v>450000</v>
      </c>
      <c r="W125" s="19" t="n">
        <v>270000</v>
      </c>
      <c r="X125" s="19" t="s">
        <v>447</v>
      </c>
      <c r="Y125" s="19" t="n">
        <v>360000</v>
      </c>
      <c r="Z125" s="19" t="n">
        <v>270000</v>
      </c>
      <c r="AA125" s="19" t="n">
        <v>180000</v>
      </c>
      <c r="AC125" s="85" t="n">
        <v>42091</v>
      </c>
      <c r="AD125" s="85" t="n">
        <v>43100</v>
      </c>
      <c r="AE125" s="19" t="n">
        <v>1</v>
      </c>
      <c r="AT125" s="19" t="s">
        <v>407</v>
      </c>
      <c r="AV125" s="19" t="n">
        <v>10</v>
      </c>
      <c r="AW125" s="19" t="n">
        <v>10</v>
      </c>
      <c r="AY125" s="19" t="n">
        <v>2023</v>
      </c>
      <c r="AZ125" s="19" t="s">
        <v>490</v>
      </c>
      <c r="BA125" s="19" t="s">
        <v>480</v>
      </c>
      <c r="BB125" s="19" t="n">
        <v>0.0088</v>
      </c>
      <c r="BC125" s="85" t="n">
        <v>45490</v>
      </c>
      <c r="BD125" s="19" t="s">
        <v>450</v>
      </c>
    </row>
    <row r="126" customFormat="false" ht="12.8" hidden="false" customHeight="false" outlineLevel="0" collapsed="false">
      <c r="A126" s="19" t="s">
        <v>29</v>
      </c>
      <c r="B126" s="19" t="s">
        <v>4</v>
      </c>
      <c r="C126" s="19" t="s">
        <v>30</v>
      </c>
      <c r="D126" s="19" t="s">
        <v>213</v>
      </c>
      <c r="E126" s="19" t="s">
        <v>178</v>
      </c>
      <c r="G126" s="19" t="s">
        <v>33</v>
      </c>
      <c r="H126" s="19" t="s">
        <v>47</v>
      </c>
      <c r="I126" s="19" t="s">
        <v>942</v>
      </c>
      <c r="J126" s="19" t="s">
        <v>943</v>
      </c>
      <c r="K126" s="19" t="s">
        <v>348</v>
      </c>
      <c r="L126" s="19" t="s">
        <v>944</v>
      </c>
      <c r="M126" s="19" t="n">
        <v>2015</v>
      </c>
      <c r="N126" s="19" t="n">
        <v>50</v>
      </c>
      <c r="O126" s="19" t="n">
        <v>50</v>
      </c>
      <c r="P126" s="19" t="n">
        <v>50000</v>
      </c>
      <c r="Q126" s="19" t="n">
        <v>50000</v>
      </c>
      <c r="R126" s="19" t="s">
        <v>39</v>
      </c>
      <c r="S126" s="19" t="s">
        <v>40</v>
      </c>
      <c r="T126" s="19" t="s">
        <v>41</v>
      </c>
      <c r="U126" s="19" t="n">
        <v>1100000</v>
      </c>
      <c r="V126" s="19" t="n">
        <v>500000</v>
      </c>
      <c r="W126" s="19" t="n">
        <v>150000</v>
      </c>
      <c r="X126" s="19" t="s">
        <v>447</v>
      </c>
      <c r="Y126" s="19" t="n">
        <v>200000</v>
      </c>
      <c r="Z126" s="19" t="n">
        <v>150000</v>
      </c>
      <c r="AA126" s="19" t="n">
        <v>100000</v>
      </c>
      <c r="AC126" s="85" t="n">
        <v>42092</v>
      </c>
      <c r="AD126" s="85" t="n">
        <v>43100</v>
      </c>
      <c r="AE126" s="19" t="n">
        <v>1</v>
      </c>
      <c r="AT126" s="19" t="s">
        <v>407</v>
      </c>
      <c r="AV126" s="19" t="n">
        <v>6</v>
      </c>
      <c r="AW126" s="19" t="n">
        <v>6</v>
      </c>
      <c r="AY126" s="19" t="n">
        <v>2023</v>
      </c>
      <c r="AZ126" s="19" t="s">
        <v>535</v>
      </c>
      <c r="BA126" s="19" t="s">
        <v>480</v>
      </c>
      <c r="BB126" s="19" t="n">
        <v>0.305</v>
      </c>
      <c r="BC126" s="85" t="n">
        <v>45638</v>
      </c>
      <c r="BD126" s="19" t="s">
        <v>450</v>
      </c>
    </row>
    <row r="127" customFormat="false" ht="12.8" hidden="false" customHeight="false" outlineLevel="0" collapsed="false">
      <c r="A127" s="19" t="s">
        <v>29</v>
      </c>
      <c r="B127" s="19" t="s">
        <v>4</v>
      </c>
      <c r="C127" s="19" t="s">
        <v>30</v>
      </c>
      <c r="D127" s="19" t="s">
        <v>186</v>
      </c>
      <c r="E127" s="19" t="s">
        <v>32</v>
      </c>
      <c r="G127" s="19" t="s">
        <v>629</v>
      </c>
      <c r="H127" s="19" t="s">
        <v>47</v>
      </c>
      <c r="I127" s="19" t="s">
        <v>945</v>
      </c>
      <c r="J127" s="19" t="s">
        <v>851</v>
      </c>
      <c r="K127" s="19" t="s">
        <v>388</v>
      </c>
      <c r="L127" s="19" t="s">
        <v>946</v>
      </c>
      <c r="M127" s="19" t="n">
        <v>2015</v>
      </c>
      <c r="N127" s="19" t="n">
        <v>190</v>
      </c>
      <c r="O127" s="19" t="n">
        <v>190</v>
      </c>
      <c r="P127" s="19" t="n">
        <v>38000</v>
      </c>
      <c r="Q127" s="19" t="n">
        <v>38000</v>
      </c>
      <c r="R127" s="19" t="s">
        <v>52</v>
      </c>
      <c r="S127" s="19" t="s">
        <v>508</v>
      </c>
      <c r="T127" s="19" t="s">
        <v>508</v>
      </c>
      <c r="U127" s="19" t="n">
        <v>3230000</v>
      </c>
      <c r="V127" s="19" t="n">
        <v>950000</v>
      </c>
      <c r="W127" s="19" t="n">
        <v>570000</v>
      </c>
      <c r="X127" s="19" t="s">
        <v>447</v>
      </c>
      <c r="Y127" s="19" t="n">
        <v>760000</v>
      </c>
      <c r="Z127" s="19" t="n">
        <v>570000</v>
      </c>
      <c r="AA127" s="19" t="n">
        <v>380000</v>
      </c>
      <c r="AC127" s="85" t="n">
        <v>42093</v>
      </c>
      <c r="AD127" s="85" t="n">
        <v>43100</v>
      </c>
      <c r="AE127" s="19" t="n">
        <v>1</v>
      </c>
      <c r="AT127" s="19" t="s">
        <v>407</v>
      </c>
      <c r="AV127" s="19" t="n">
        <v>20</v>
      </c>
      <c r="AW127" s="19" t="n">
        <v>20</v>
      </c>
      <c r="AY127" s="19" t="n">
        <v>2023</v>
      </c>
      <c r="AZ127" s="19" t="s">
        <v>448</v>
      </c>
      <c r="BA127" s="19" t="s">
        <v>480</v>
      </c>
      <c r="BB127" s="19" t="n">
        <v>0.4008</v>
      </c>
      <c r="BC127" s="85" t="n">
        <v>45450</v>
      </c>
      <c r="BD127" s="19" t="s">
        <v>450</v>
      </c>
    </row>
    <row r="128" customFormat="false" ht="12.8" hidden="false" customHeight="false" outlineLevel="0" collapsed="false">
      <c r="A128" s="19" t="s">
        <v>29</v>
      </c>
      <c r="B128" s="19" t="s">
        <v>4</v>
      </c>
      <c r="C128" s="19" t="s">
        <v>30</v>
      </c>
      <c r="D128" s="19" t="s">
        <v>947</v>
      </c>
      <c r="E128" s="19" t="s">
        <v>67</v>
      </c>
      <c r="G128" s="19" t="s">
        <v>33</v>
      </c>
      <c r="H128" s="19" t="s">
        <v>47</v>
      </c>
      <c r="I128" s="19" t="s">
        <v>948</v>
      </c>
      <c r="J128" s="19" t="s">
        <v>949</v>
      </c>
      <c r="K128" s="19" t="s">
        <v>950</v>
      </c>
      <c r="L128" s="19" t="s">
        <v>951</v>
      </c>
      <c r="M128" s="19" t="n">
        <v>2016</v>
      </c>
      <c r="N128" s="19" t="n">
        <v>50</v>
      </c>
      <c r="O128" s="19" t="n">
        <v>50</v>
      </c>
      <c r="P128" s="19" t="n">
        <v>10000</v>
      </c>
      <c r="Q128" s="19" t="n">
        <v>10000</v>
      </c>
      <c r="R128" s="19" t="s">
        <v>39</v>
      </c>
      <c r="S128" s="19" t="s">
        <v>184</v>
      </c>
      <c r="T128" s="19" t="s">
        <v>185</v>
      </c>
      <c r="U128" s="19" t="n">
        <v>850050</v>
      </c>
      <c r="V128" s="19" t="n">
        <v>723640</v>
      </c>
      <c r="W128" s="19" t="n">
        <v>322050</v>
      </c>
      <c r="X128" s="19" t="s">
        <v>447</v>
      </c>
      <c r="Y128" s="19" t="n">
        <v>372050</v>
      </c>
      <c r="Z128" s="19" t="n">
        <v>150000</v>
      </c>
      <c r="AA128" s="19" t="n">
        <v>100000</v>
      </c>
      <c r="AC128" s="85" t="n">
        <v>42507</v>
      </c>
      <c r="AD128" s="85" t="n">
        <v>43465</v>
      </c>
      <c r="AE128" s="19" t="n">
        <v>1</v>
      </c>
      <c r="AK128" s="85" t="n">
        <v>43696</v>
      </c>
      <c r="AL128" s="85" t="n">
        <v>43438</v>
      </c>
      <c r="AM128" s="19" t="n">
        <v>0.8883</v>
      </c>
      <c r="AQ128" s="85" t="n">
        <v>44910</v>
      </c>
      <c r="AR128" s="19" t="s">
        <v>325</v>
      </c>
      <c r="AS128" s="19" t="s">
        <v>952</v>
      </c>
      <c r="AT128" s="19" t="s">
        <v>313</v>
      </c>
      <c r="AV128" s="19" t="n">
        <v>6</v>
      </c>
      <c r="AW128" s="19" t="n">
        <v>6</v>
      </c>
      <c r="AY128" s="19" t="n">
        <v>2023</v>
      </c>
      <c r="AZ128" s="19" t="s">
        <v>457</v>
      </c>
      <c r="BA128" s="19" t="s">
        <v>574</v>
      </c>
      <c r="BB128" s="19" t="n">
        <v>0.6992</v>
      </c>
      <c r="BC128" s="85" t="n">
        <v>45545</v>
      </c>
      <c r="BD128" s="19" t="s">
        <v>450</v>
      </c>
    </row>
    <row r="129" customFormat="false" ht="12.8" hidden="false" customHeight="false" outlineLevel="0" collapsed="false">
      <c r="A129" s="19" t="s">
        <v>29</v>
      </c>
      <c r="B129" s="19" t="s">
        <v>4</v>
      </c>
      <c r="C129" s="19" t="s">
        <v>30</v>
      </c>
      <c r="D129" s="19" t="s">
        <v>953</v>
      </c>
      <c r="E129" s="19" t="s">
        <v>67</v>
      </c>
      <c r="G129" s="19" t="s">
        <v>33</v>
      </c>
      <c r="H129" s="19" t="s">
        <v>47</v>
      </c>
      <c r="I129" s="19" t="s">
        <v>954</v>
      </c>
      <c r="J129" s="19" t="s">
        <v>949</v>
      </c>
      <c r="K129" s="19" t="s">
        <v>950</v>
      </c>
      <c r="L129" s="19" t="s">
        <v>951</v>
      </c>
      <c r="M129" s="19" t="n">
        <v>2016</v>
      </c>
      <c r="N129" s="19" t="n">
        <v>50</v>
      </c>
      <c r="O129" s="19" t="n">
        <v>50</v>
      </c>
      <c r="P129" s="19" t="n">
        <v>10000</v>
      </c>
      <c r="Q129" s="19" t="n">
        <v>10000</v>
      </c>
      <c r="R129" s="19" t="s">
        <v>39</v>
      </c>
      <c r="S129" s="19" t="s">
        <v>93</v>
      </c>
      <c r="T129" s="19" t="s">
        <v>955</v>
      </c>
      <c r="U129" s="19" t="n">
        <v>750050</v>
      </c>
      <c r="W129" s="19" t="n">
        <v>322050</v>
      </c>
      <c r="X129" s="19" t="s">
        <v>447</v>
      </c>
      <c r="Y129" s="19" t="n">
        <v>372050</v>
      </c>
      <c r="Z129" s="19" t="n">
        <v>150000</v>
      </c>
      <c r="AA129" s="19" t="n">
        <v>100000</v>
      </c>
      <c r="AC129" s="85" t="n">
        <v>42507</v>
      </c>
      <c r="AD129" s="85" t="n">
        <v>43465</v>
      </c>
      <c r="AE129" s="19" t="n">
        <v>1</v>
      </c>
      <c r="AK129" s="85" t="n">
        <v>43696</v>
      </c>
      <c r="AL129" s="85" t="n">
        <v>43438</v>
      </c>
      <c r="AM129" s="19" t="n">
        <v>0.88</v>
      </c>
      <c r="AR129" s="19" t="s">
        <v>117</v>
      </c>
      <c r="AS129" s="19" t="s">
        <v>117</v>
      </c>
      <c r="AT129" s="19" t="s">
        <v>313</v>
      </c>
      <c r="AV129" s="19" t="n">
        <v>6</v>
      </c>
      <c r="AW129" s="19" t="n">
        <v>6</v>
      </c>
      <c r="AY129" s="19" t="n">
        <v>2023</v>
      </c>
      <c r="AZ129" s="19" t="s">
        <v>457</v>
      </c>
      <c r="BA129" s="19" t="s">
        <v>574</v>
      </c>
      <c r="BB129" s="19" t="n">
        <v>0.1198</v>
      </c>
      <c r="BC129" s="85" t="n">
        <v>45542</v>
      </c>
      <c r="BD129" s="19" t="s">
        <v>450</v>
      </c>
    </row>
    <row r="130" customFormat="false" ht="12.8" hidden="false" customHeight="false" outlineLevel="0" collapsed="false">
      <c r="A130" s="19" t="s">
        <v>29</v>
      </c>
      <c r="B130" s="19" t="s">
        <v>4</v>
      </c>
      <c r="C130" s="19" t="s">
        <v>30</v>
      </c>
      <c r="D130" s="19" t="s">
        <v>151</v>
      </c>
      <c r="E130" s="19" t="s">
        <v>32</v>
      </c>
      <c r="G130" s="19" t="s">
        <v>33</v>
      </c>
      <c r="H130" s="19" t="s">
        <v>47</v>
      </c>
      <c r="I130" s="19" t="s">
        <v>956</v>
      </c>
      <c r="J130" s="19" t="s">
        <v>828</v>
      </c>
      <c r="K130" s="19" t="s">
        <v>318</v>
      </c>
      <c r="L130" s="19" t="s">
        <v>957</v>
      </c>
      <c r="M130" s="19" t="n">
        <v>2016</v>
      </c>
      <c r="N130" s="19" t="n">
        <v>30</v>
      </c>
      <c r="O130" s="19" t="n">
        <v>30</v>
      </c>
      <c r="P130" s="19" t="n">
        <v>54690</v>
      </c>
      <c r="Q130" s="19" t="n">
        <v>54690</v>
      </c>
      <c r="R130" s="19" t="s">
        <v>39</v>
      </c>
      <c r="S130" s="19" t="s">
        <v>40</v>
      </c>
      <c r="T130" s="19" t="s">
        <v>154</v>
      </c>
      <c r="U130" s="19" t="n">
        <v>805281</v>
      </c>
      <c r="V130" s="19" t="n">
        <v>432051</v>
      </c>
      <c r="W130" s="19" t="n">
        <v>193230</v>
      </c>
      <c r="X130" s="19" t="s">
        <v>447</v>
      </c>
      <c r="Y130" s="19" t="n">
        <v>223230</v>
      </c>
      <c r="Z130" s="19" t="n">
        <v>90000</v>
      </c>
      <c r="AA130" s="19" t="n">
        <v>60000</v>
      </c>
      <c r="AC130" s="85" t="n">
        <v>42439</v>
      </c>
      <c r="AD130" s="85" t="n">
        <v>43465</v>
      </c>
      <c r="AE130" s="19" t="n">
        <v>1</v>
      </c>
      <c r="AF130" s="19" t="n">
        <v>80528.1</v>
      </c>
      <c r="AG130" s="85" t="n">
        <v>43822</v>
      </c>
      <c r="AH130" s="19" t="n">
        <v>0</v>
      </c>
      <c r="AI130" s="19" t="n">
        <v>805281</v>
      </c>
      <c r="AK130" s="85" t="n">
        <v>43790</v>
      </c>
      <c r="AL130" s="85" t="n">
        <v>43412</v>
      </c>
      <c r="AM130" s="19" t="n">
        <v>0.8766</v>
      </c>
      <c r="AR130" s="19" t="s">
        <v>117</v>
      </c>
      <c r="AS130" s="19" t="s">
        <v>117</v>
      </c>
      <c r="AT130" s="19" t="s">
        <v>313</v>
      </c>
      <c r="AV130" s="19" t="n">
        <v>4</v>
      </c>
      <c r="AW130" s="19" t="n">
        <v>4</v>
      </c>
      <c r="AY130" s="19" t="n">
        <v>2023</v>
      </c>
      <c r="AZ130" s="19" t="s">
        <v>448</v>
      </c>
      <c r="BA130" s="19" t="s">
        <v>449</v>
      </c>
      <c r="BB130" s="19" t="n">
        <v>0.1761</v>
      </c>
      <c r="BC130" s="85" t="n">
        <v>45553</v>
      </c>
      <c r="BD130" s="19" t="s">
        <v>450</v>
      </c>
    </row>
    <row r="131" customFormat="false" ht="12.8" hidden="false" customHeight="false" outlineLevel="0" collapsed="false">
      <c r="A131" s="19" t="s">
        <v>29</v>
      </c>
      <c r="B131" s="19" t="s">
        <v>4</v>
      </c>
      <c r="C131" s="19" t="s">
        <v>30</v>
      </c>
      <c r="D131" s="19" t="s">
        <v>217</v>
      </c>
      <c r="E131" s="19" t="s">
        <v>32</v>
      </c>
      <c r="G131" s="19" t="s">
        <v>33</v>
      </c>
      <c r="H131" s="19" t="s">
        <v>47</v>
      </c>
      <c r="I131" s="19" t="s">
        <v>958</v>
      </c>
      <c r="J131" s="19" t="s">
        <v>843</v>
      </c>
      <c r="K131" s="19" t="s">
        <v>350</v>
      </c>
      <c r="L131" s="19" t="s">
        <v>959</v>
      </c>
      <c r="M131" s="19" t="n">
        <v>2016</v>
      </c>
      <c r="N131" s="19" t="n">
        <v>27</v>
      </c>
      <c r="O131" s="19" t="n">
        <v>27</v>
      </c>
      <c r="P131" s="19" t="n">
        <v>49250</v>
      </c>
      <c r="Q131" s="19" t="n">
        <v>49250</v>
      </c>
      <c r="R131" s="19" t="s">
        <v>39</v>
      </c>
      <c r="S131" s="19" t="s">
        <v>40</v>
      </c>
      <c r="T131" s="19" t="s">
        <v>154</v>
      </c>
      <c r="U131" s="19" t="n">
        <v>724752.9</v>
      </c>
      <c r="V131" s="19" t="n">
        <v>388845.9</v>
      </c>
      <c r="W131" s="19" t="n">
        <v>173907</v>
      </c>
      <c r="X131" s="19" t="s">
        <v>447</v>
      </c>
      <c r="Y131" s="19" t="n">
        <v>200907</v>
      </c>
      <c r="Z131" s="19" t="n">
        <v>81000</v>
      </c>
      <c r="AA131" s="19" t="n">
        <v>54000</v>
      </c>
      <c r="AC131" s="85" t="n">
        <v>42439</v>
      </c>
      <c r="AD131" s="85" t="n">
        <v>43465</v>
      </c>
      <c r="AE131" s="19" t="n">
        <v>1</v>
      </c>
      <c r="AG131" s="85" t="n">
        <v>43812</v>
      </c>
      <c r="AH131" s="19" t="n">
        <v>0</v>
      </c>
      <c r="AI131" s="19" t="n">
        <v>724752.9</v>
      </c>
      <c r="AK131" s="85" t="n">
        <v>42429</v>
      </c>
      <c r="AL131" s="85" t="n">
        <v>43420</v>
      </c>
      <c r="AN131" s="19" t="s">
        <v>960</v>
      </c>
      <c r="AO131" s="19" t="s">
        <v>961</v>
      </c>
      <c r="AQ131" s="85" t="n">
        <v>44910</v>
      </c>
      <c r="AR131" s="19" t="s">
        <v>325</v>
      </c>
      <c r="AS131" s="19" t="s">
        <v>962</v>
      </c>
      <c r="AT131" s="19" t="s">
        <v>313</v>
      </c>
      <c r="AV131" s="19" t="n">
        <v>4</v>
      </c>
      <c r="AW131" s="19" t="n">
        <v>4</v>
      </c>
      <c r="AY131" s="19" t="n">
        <v>2023</v>
      </c>
      <c r="AZ131" s="19" t="s">
        <v>490</v>
      </c>
      <c r="BA131" s="19" t="s">
        <v>480</v>
      </c>
      <c r="BB131" s="19" t="n">
        <v>0.0036</v>
      </c>
      <c r="BC131" s="85" t="n">
        <v>45490</v>
      </c>
      <c r="BD131" s="19" t="s">
        <v>450</v>
      </c>
    </row>
    <row r="132" customFormat="false" ht="12.8" hidden="false" customHeight="false" outlineLevel="0" collapsed="false">
      <c r="A132" s="19" t="s">
        <v>29</v>
      </c>
      <c r="B132" s="19" t="s">
        <v>4</v>
      </c>
      <c r="C132" s="19" t="s">
        <v>30</v>
      </c>
      <c r="D132" s="19" t="s">
        <v>695</v>
      </c>
      <c r="E132" s="19" t="s">
        <v>32</v>
      </c>
      <c r="G132" s="19" t="s">
        <v>33</v>
      </c>
      <c r="H132" s="19" t="s">
        <v>47</v>
      </c>
      <c r="I132" s="19" t="s">
        <v>963</v>
      </c>
      <c r="J132" s="19" t="s">
        <v>36</v>
      </c>
      <c r="K132" s="19" t="s">
        <v>37</v>
      </c>
      <c r="L132" s="19" t="s">
        <v>964</v>
      </c>
      <c r="M132" s="19" t="n">
        <v>2016</v>
      </c>
      <c r="N132" s="19" t="n">
        <v>40</v>
      </c>
      <c r="O132" s="19" t="n">
        <v>40</v>
      </c>
      <c r="P132" s="19" t="n">
        <v>72970</v>
      </c>
      <c r="Q132" s="19" t="n">
        <v>72970</v>
      </c>
      <c r="R132" s="19" t="s">
        <v>39</v>
      </c>
      <c r="S132" s="19" t="s">
        <v>40</v>
      </c>
      <c r="T132" s="19" t="s">
        <v>154</v>
      </c>
      <c r="U132" s="19" t="n">
        <v>724752.9</v>
      </c>
      <c r="V132" s="19" t="n">
        <v>576068</v>
      </c>
      <c r="W132" s="19" t="n">
        <v>257640</v>
      </c>
      <c r="X132" s="19" t="s">
        <v>447</v>
      </c>
      <c r="Y132" s="19" t="n">
        <v>297640</v>
      </c>
      <c r="Z132" s="19" t="n">
        <v>120000</v>
      </c>
      <c r="AA132" s="19" t="n">
        <v>80000</v>
      </c>
      <c r="AC132" s="85" t="n">
        <v>42439</v>
      </c>
      <c r="AD132" s="85" t="n">
        <v>43465</v>
      </c>
      <c r="AE132" s="19" t="n">
        <v>1</v>
      </c>
      <c r="AG132" s="85" t="n">
        <v>43815</v>
      </c>
      <c r="AH132" s="19" t="n">
        <v>0</v>
      </c>
      <c r="AI132" s="19" t="n">
        <v>1073708</v>
      </c>
      <c r="AK132" s="85" t="n">
        <v>43682</v>
      </c>
      <c r="AM132" s="19" t="n">
        <v>0.8813</v>
      </c>
      <c r="AR132" s="19" t="s">
        <v>311</v>
      </c>
      <c r="AS132" s="19" t="s">
        <v>312</v>
      </c>
      <c r="AT132" s="19" t="s">
        <v>313</v>
      </c>
      <c r="AV132" s="19" t="n">
        <v>5</v>
      </c>
      <c r="AW132" s="19" t="n">
        <v>5</v>
      </c>
      <c r="AY132" s="19" t="n">
        <v>2023</v>
      </c>
      <c r="AZ132" s="19" t="s">
        <v>535</v>
      </c>
      <c r="BA132" s="19" t="s">
        <v>449</v>
      </c>
      <c r="BB132" s="19" t="n">
        <v>0.0179</v>
      </c>
      <c r="BC132" s="85" t="n">
        <v>45493</v>
      </c>
      <c r="BD132" s="19" t="s">
        <v>450</v>
      </c>
    </row>
    <row r="133" customFormat="false" ht="12.8" hidden="false" customHeight="false" outlineLevel="0" collapsed="false">
      <c r="A133" s="19" t="s">
        <v>29</v>
      </c>
      <c r="B133" s="19" t="s">
        <v>4</v>
      </c>
      <c r="C133" s="19" t="s">
        <v>30</v>
      </c>
      <c r="D133" s="19" t="s">
        <v>55</v>
      </c>
      <c r="E133" s="19" t="s">
        <v>32</v>
      </c>
      <c r="G133" s="19" t="s">
        <v>33</v>
      </c>
      <c r="H133" s="19" t="s">
        <v>47</v>
      </c>
      <c r="I133" s="19" t="s">
        <v>965</v>
      </c>
      <c r="J133" s="19" t="s">
        <v>966</v>
      </c>
      <c r="K133" s="19" t="s">
        <v>362</v>
      </c>
      <c r="L133" s="19" t="s">
        <v>967</v>
      </c>
      <c r="M133" s="19" t="n">
        <v>2016</v>
      </c>
      <c r="N133" s="19" t="n">
        <v>65</v>
      </c>
      <c r="O133" s="19" t="n">
        <v>65</v>
      </c>
      <c r="P133" s="19" t="n">
        <v>118495</v>
      </c>
      <c r="Q133" s="19" t="n">
        <v>118495</v>
      </c>
      <c r="R133" s="19" t="s">
        <v>39</v>
      </c>
      <c r="S133" s="19" t="s">
        <v>40</v>
      </c>
      <c r="T133" s="19" t="s">
        <v>968</v>
      </c>
      <c r="U133" s="19" t="n">
        <v>1744775.5</v>
      </c>
      <c r="W133" s="19" t="n">
        <v>418665</v>
      </c>
      <c r="X133" s="19" t="s">
        <v>447</v>
      </c>
      <c r="Y133" s="19" t="n">
        <v>483665</v>
      </c>
      <c r="Z133" s="19" t="n">
        <v>195000</v>
      </c>
      <c r="AA133" s="19" t="n">
        <v>130000</v>
      </c>
      <c r="AC133" s="85" t="n">
        <v>42446</v>
      </c>
      <c r="AD133" s="85" t="n">
        <v>43465</v>
      </c>
      <c r="AE133" s="19" t="n">
        <v>1</v>
      </c>
      <c r="AH133" s="19" t="n">
        <v>0</v>
      </c>
      <c r="AI133" s="19" t="n">
        <v>1744775.5</v>
      </c>
      <c r="AL133" s="85" t="n">
        <v>43431</v>
      </c>
      <c r="AM133" s="19" t="n">
        <v>0.8837</v>
      </c>
      <c r="AR133" s="19" t="s">
        <v>117</v>
      </c>
      <c r="AS133" s="19" t="s">
        <v>117</v>
      </c>
      <c r="AT133" s="19" t="s">
        <v>313</v>
      </c>
      <c r="AV133" s="19" t="n">
        <v>7</v>
      </c>
      <c r="AW133" s="19" t="n">
        <v>7</v>
      </c>
      <c r="AY133" s="19" t="n">
        <v>2023</v>
      </c>
      <c r="AZ133" s="19" t="s">
        <v>476</v>
      </c>
      <c r="BA133" s="19" t="s">
        <v>449</v>
      </c>
      <c r="BB133" s="19" t="n">
        <v>0.0946</v>
      </c>
      <c r="BC133" s="85" t="n">
        <v>45513</v>
      </c>
      <c r="BD133" s="19" t="s">
        <v>450</v>
      </c>
    </row>
    <row r="134" customFormat="false" ht="12.8" hidden="false" customHeight="false" outlineLevel="0" collapsed="false">
      <c r="A134" s="19" t="s">
        <v>29</v>
      </c>
      <c r="B134" s="19" t="s">
        <v>4</v>
      </c>
      <c r="C134" s="19" t="s">
        <v>43</v>
      </c>
      <c r="D134" s="19" t="s">
        <v>44</v>
      </c>
      <c r="E134" s="19" t="s">
        <v>45</v>
      </c>
      <c r="G134" s="19" t="s">
        <v>46</v>
      </c>
      <c r="H134" s="19" t="s">
        <v>47</v>
      </c>
      <c r="I134" s="19" t="s">
        <v>969</v>
      </c>
      <c r="J134" s="19" t="s">
        <v>49</v>
      </c>
      <c r="K134" s="19" t="s">
        <v>50</v>
      </c>
      <c r="L134" s="19" t="s">
        <v>970</v>
      </c>
      <c r="M134" s="19" t="n">
        <v>2016</v>
      </c>
      <c r="N134" s="19" t="n">
        <v>30</v>
      </c>
      <c r="O134" s="19" t="n">
        <v>30</v>
      </c>
      <c r="P134" s="19" t="n">
        <v>54780</v>
      </c>
      <c r="Q134" s="19" t="n">
        <v>54780</v>
      </c>
      <c r="R134" s="19" t="s">
        <v>39</v>
      </c>
      <c r="S134" s="19" t="s">
        <v>93</v>
      </c>
      <c r="T134" s="19" t="s">
        <v>94</v>
      </c>
      <c r="U134" s="19" t="n">
        <v>805281</v>
      </c>
      <c r="V134" s="19" t="n">
        <v>76800</v>
      </c>
      <c r="W134" s="19" t="n">
        <v>193230</v>
      </c>
      <c r="X134" s="19" t="s">
        <v>447</v>
      </c>
      <c r="Y134" s="19" t="n">
        <v>223230</v>
      </c>
      <c r="Z134" s="19" t="n">
        <v>90000</v>
      </c>
      <c r="AA134" s="19" t="n">
        <v>60000</v>
      </c>
      <c r="AC134" s="85" t="n">
        <v>42439</v>
      </c>
      <c r="AD134" s="85" t="n">
        <v>43465</v>
      </c>
      <c r="AE134" s="19" t="n">
        <v>1</v>
      </c>
      <c r="AF134" s="19" t="n">
        <v>80528.1</v>
      </c>
      <c r="AG134" s="85" t="n">
        <v>43657</v>
      </c>
      <c r="AH134" s="19" t="n">
        <v>0</v>
      </c>
      <c r="AI134" s="19" t="n">
        <v>805281</v>
      </c>
      <c r="AL134" s="85" t="n">
        <v>43397</v>
      </c>
      <c r="AM134" s="19" t="n">
        <v>0.8683</v>
      </c>
      <c r="AQ134" s="85" t="n">
        <v>44558</v>
      </c>
      <c r="AR134" s="19" t="s">
        <v>325</v>
      </c>
      <c r="AS134" s="19" t="s">
        <v>924</v>
      </c>
      <c r="AT134" s="19" t="s">
        <v>313</v>
      </c>
      <c r="AV134" s="19" t="n">
        <v>4</v>
      </c>
      <c r="AW134" s="19" t="n">
        <v>4</v>
      </c>
      <c r="AY134" s="19" t="n">
        <v>2023</v>
      </c>
      <c r="AZ134" s="19" t="s">
        <v>448</v>
      </c>
      <c r="BA134" s="19" t="s">
        <v>501</v>
      </c>
      <c r="BB134" s="19" t="n">
        <v>0.8263</v>
      </c>
      <c r="BC134" s="85" t="n">
        <v>45534</v>
      </c>
      <c r="BD134" s="19" t="s">
        <v>450</v>
      </c>
    </row>
    <row r="135" customFormat="false" ht="12.8" hidden="false" customHeight="false" outlineLevel="0" collapsed="false">
      <c r="A135" s="19" t="s">
        <v>29</v>
      </c>
      <c r="B135" s="19" t="s">
        <v>4</v>
      </c>
      <c r="C135" s="19" t="s">
        <v>30</v>
      </c>
      <c r="D135" s="19" t="s">
        <v>31</v>
      </c>
      <c r="E135" s="19" t="s">
        <v>32</v>
      </c>
      <c r="G135" s="19" t="s">
        <v>33</v>
      </c>
      <c r="H135" s="19" t="s">
        <v>47</v>
      </c>
      <c r="I135" s="19" t="s">
        <v>971</v>
      </c>
      <c r="J135" s="19" t="s">
        <v>36</v>
      </c>
      <c r="K135" s="19" t="s">
        <v>37</v>
      </c>
      <c r="L135" s="19" t="s">
        <v>309</v>
      </c>
      <c r="M135" s="19" t="n">
        <v>2017</v>
      </c>
      <c r="N135" s="19" t="n">
        <v>30</v>
      </c>
      <c r="O135" s="19" t="n">
        <v>30</v>
      </c>
      <c r="P135" s="19" t="n">
        <v>6000</v>
      </c>
      <c r="Q135" s="19" t="n">
        <v>6000</v>
      </c>
      <c r="R135" s="19" t="s">
        <v>39</v>
      </c>
      <c r="S135" s="19" t="s">
        <v>184</v>
      </c>
      <c r="T135" s="19" t="s">
        <v>185</v>
      </c>
      <c r="U135" s="19" t="n">
        <v>585000</v>
      </c>
      <c r="V135" s="19" t="n">
        <v>210000</v>
      </c>
      <c r="W135" s="19" t="n">
        <v>90000</v>
      </c>
      <c r="X135" s="19" t="s">
        <v>447</v>
      </c>
      <c r="Y135" s="19" t="n">
        <v>435000</v>
      </c>
      <c r="Z135" s="19" t="n">
        <v>90000</v>
      </c>
      <c r="AA135" s="19" t="n">
        <v>150000</v>
      </c>
      <c r="AC135" s="85" t="n">
        <v>42824</v>
      </c>
      <c r="AD135" s="85" t="n">
        <v>43830</v>
      </c>
      <c r="AE135" s="19" t="n">
        <v>1</v>
      </c>
      <c r="AG135" s="85" t="n">
        <v>44375</v>
      </c>
      <c r="AH135" s="19" t="n">
        <v>0</v>
      </c>
      <c r="AI135" s="19" t="n">
        <v>1575000</v>
      </c>
      <c r="AK135" s="85" t="n">
        <v>42823</v>
      </c>
      <c r="AL135" s="85" t="n">
        <v>43748</v>
      </c>
      <c r="AM135" s="19" t="n">
        <v>0.8832</v>
      </c>
      <c r="AN135" s="19" t="s">
        <v>972</v>
      </c>
      <c r="AO135" s="19" t="s">
        <v>973</v>
      </c>
      <c r="AR135" s="19" t="s">
        <v>311</v>
      </c>
      <c r="AS135" s="19" t="s">
        <v>312</v>
      </c>
      <c r="AT135" s="19" t="s">
        <v>313</v>
      </c>
      <c r="AU135" s="19" t="s">
        <v>974</v>
      </c>
      <c r="AV135" s="19" t="n">
        <v>4</v>
      </c>
      <c r="AX135" s="19" t="n">
        <v>4</v>
      </c>
      <c r="AY135" s="19" t="n">
        <v>2025</v>
      </c>
    </row>
    <row r="136" customFormat="false" ht="12.8" hidden="false" customHeight="false" outlineLevel="0" collapsed="false">
      <c r="A136" s="19" t="s">
        <v>29</v>
      </c>
      <c r="B136" s="19" t="s">
        <v>4</v>
      </c>
      <c r="C136" s="19" t="s">
        <v>30</v>
      </c>
      <c r="D136" s="19" t="s">
        <v>186</v>
      </c>
      <c r="E136" s="19" t="s">
        <v>32</v>
      </c>
      <c r="G136" s="19" t="s">
        <v>33</v>
      </c>
      <c r="H136" s="19" t="s">
        <v>314</v>
      </c>
      <c r="I136" s="19" t="s">
        <v>975</v>
      </c>
      <c r="J136" s="19" t="s">
        <v>274</v>
      </c>
      <c r="K136" s="19" t="s">
        <v>315</v>
      </c>
      <c r="L136" s="19" t="s">
        <v>316</v>
      </c>
      <c r="M136" s="19" t="n">
        <v>2017</v>
      </c>
      <c r="N136" s="19" t="n">
        <v>50</v>
      </c>
      <c r="O136" s="19" t="n">
        <v>50</v>
      </c>
      <c r="P136" s="19" t="n">
        <v>83300</v>
      </c>
      <c r="Q136" s="19" t="n">
        <v>83300</v>
      </c>
      <c r="R136" s="19" t="s">
        <v>52</v>
      </c>
      <c r="S136" s="19" t="s">
        <v>189</v>
      </c>
      <c r="T136" s="19" t="s">
        <v>190</v>
      </c>
      <c r="U136" s="19" t="n">
        <v>1891400</v>
      </c>
      <c r="W136" s="19" t="n">
        <v>150000</v>
      </c>
      <c r="X136" s="19" t="s">
        <v>447</v>
      </c>
      <c r="Y136" s="19" t="n">
        <v>1641400</v>
      </c>
      <c r="Z136" s="19" t="n">
        <v>150000</v>
      </c>
      <c r="AA136" s="19" t="n">
        <v>250000</v>
      </c>
      <c r="AB136" s="19" t="n">
        <v>2041400</v>
      </c>
      <c r="AC136" s="85" t="n">
        <v>42824</v>
      </c>
      <c r="AD136" s="85" t="n">
        <v>43830</v>
      </c>
      <c r="AE136" s="19" t="n">
        <v>1</v>
      </c>
      <c r="AG136" s="85" t="n">
        <v>44368</v>
      </c>
      <c r="AH136" s="19" t="n">
        <v>0</v>
      </c>
      <c r="AI136" s="19" t="n">
        <v>2041400</v>
      </c>
      <c r="AK136" s="85" t="n">
        <v>42823</v>
      </c>
      <c r="AL136" s="85" t="n">
        <v>43736</v>
      </c>
      <c r="AM136" s="19" t="n">
        <v>0.896</v>
      </c>
      <c r="AR136" s="19" t="s">
        <v>311</v>
      </c>
      <c r="AS136" s="19" t="s">
        <v>317</v>
      </c>
      <c r="AT136" s="19" t="s">
        <v>313</v>
      </c>
      <c r="AU136" s="19" t="s">
        <v>976</v>
      </c>
      <c r="AV136" s="19" t="n">
        <v>6</v>
      </c>
      <c r="AX136" s="19" t="n">
        <v>6</v>
      </c>
      <c r="AY136" s="19" t="n">
        <v>2025</v>
      </c>
    </row>
    <row r="137" customFormat="false" ht="12.8" hidden="false" customHeight="false" outlineLevel="0" collapsed="false">
      <c r="A137" s="19" t="s">
        <v>29</v>
      </c>
      <c r="B137" s="19" t="s">
        <v>4</v>
      </c>
      <c r="C137" s="19" t="s">
        <v>30</v>
      </c>
      <c r="D137" s="19" t="s">
        <v>151</v>
      </c>
      <c r="E137" s="19" t="s">
        <v>32</v>
      </c>
      <c r="G137" s="19" t="s">
        <v>33</v>
      </c>
      <c r="H137" s="19" t="s">
        <v>34</v>
      </c>
      <c r="I137" s="19" t="s">
        <v>191</v>
      </c>
      <c r="J137" s="19" t="s">
        <v>828</v>
      </c>
      <c r="K137" s="19" t="s">
        <v>318</v>
      </c>
      <c r="L137" s="19" t="s">
        <v>319</v>
      </c>
      <c r="M137" s="19" t="n">
        <v>2017</v>
      </c>
      <c r="N137" s="19" t="n">
        <v>50</v>
      </c>
      <c r="O137" s="19" t="n">
        <v>50</v>
      </c>
      <c r="P137" s="19" t="n">
        <v>10000</v>
      </c>
      <c r="Q137" s="19" t="n">
        <v>10000</v>
      </c>
      <c r="R137" s="19" t="s">
        <v>39</v>
      </c>
      <c r="S137" s="19" t="s">
        <v>184</v>
      </c>
      <c r="T137" s="19" t="s">
        <v>185</v>
      </c>
      <c r="U137" s="19" t="n">
        <v>975000</v>
      </c>
      <c r="V137" s="19" t="n">
        <v>350000</v>
      </c>
      <c r="W137" s="19" t="n">
        <v>150000</v>
      </c>
      <c r="X137" s="19" t="s">
        <v>447</v>
      </c>
      <c r="Y137" s="19" t="n">
        <v>725000</v>
      </c>
      <c r="Z137" s="19" t="n">
        <v>150000</v>
      </c>
      <c r="AA137" s="19" t="n">
        <v>250000</v>
      </c>
      <c r="AB137" s="19" t="n">
        <v>975000</v>
      </c>
      <c r="AC137" s="85" t="n">
        <v>42824</v>
      </c>
      <c r="AD137" s="85" t="n">
        <v>43830</v>
      </c>
      <c r="AE137" s="19" t="n">
        <v>1</v>
      </c>
      <c r="AG137" s="85" t="n">
        <v>44375</v>
      </c>
      <c r="AH137" s="19" t="n">
        <v>1125000</v>
      </c>
      <c r="AI137" s="19" t="n">
        <v>0</v>
      </c>
      <c r="AK137" s="85" t="n">
        <v>42823</v>
      </c>
      <c r="AL137" s="85" t="n">
        <v>43783</v>
      </c>
      <c r="AM137" s="19" t="n">
        <v>0.8676</v>
      </c>
      <c r="AR137" s="19" t="s">
        <v>311</v>
      </c>
      <c r="AS137" s="19" t="s">
        <v>317</v>
      </c>
      <c r="AT137" s="19" t="s">
        <v>313</v>
      </c>
      <c r="AU137" s="19" t="s">
        <v>977</v>
      </c>
      <c r="AV137" s="19" t="n">
        <v>6</v>
      </c>
      <c r="AX137" s="19" t="n">
        <v>6</v>
      </c>
      <c r="AY137" s="19" t="n">
        <v>2025</v>
      </c>
    </row>
    <row r="138" customFormat="false" ht="12.8" hidden="false" customHeight="false" outlineLevel="0" collapsed="false">
      <c r="A138" s="19" t="s">
        <v>29</v>
      </c>
      <c r="B138" s="19" t="s">
        <v>4</v>
      </c>
      <c r="C138" s="19" t="s">
        <v>30</v>
      </c>
      <c r="D138" s="19" t="s">
        <v>151</v>
      </c>
      <c r="E138" s="19" t="s">
        <v>32</v>
      </c>
      <c r="G138" s="19" t="s">
        <v>33</v>
      </c>
      <c r="H138" s="19" t="s">
        <v>34</v>
      </c>
      <c r="I138" s="19" t="s">
        <v>192</v>
      </c>
      <c r="J138" s="19" t="s">
        <v>171</v>
      </c>
      <c r="K138" s="19" t="s">
        <v>320</v>
      </c>
      <c r="L138" s="19" t="s">
        <v>321</v>
      </c>
      <c r="M138" s="19" t="n">
        <v>2017</v>
      </c>
      <c r="N138" s="19" t="n">
        <v>30</v>
      </c>
      <c r="O138" s="19" t="n">
        <v>30</v>
      </c>
      <c r="P138" s="19" t="n">
        <v>6000</v>
      </c>
      <c r="Q138" s="19" t="n">
        <v>6000</v>
      </c>
      <c r="R138" s="19" t="s">
        <v>39</v>
      </c>
      <c r="S138" s="19" t="s">
        <v>184</v>
      </c>
      <c r="T138" s="19" t="s">
        <v>185</v>
      </c>
      <c r="U138" s="19" t="n">
        <v>585000</v>
      </c>
      <c r="V138" s="19" t="n">
        <v>210000</v>
      </c>
      <c r="W138" s="19" t="n">
        <v>90000</v>
      </c>
      <c r="X138" s="19" t="s">
        <v>447</v>
      </c>
      <c r="Y138" s="19" t="n">
        <v>435000</v>
      </c>
      <c r="Z138" s="19" t="n">
        <v>90000</v>
      </c>
      <c r="AA138" s="19" t="n">
        <v>150000</v>
      </c>
      <c r="AB138" s="19" t="n">
        <v>585000</v>
      </c>
      <c r="AC138" s="85" t="n">
        <v>42822</v>
      </c>
      <c r="AD138" s="85" t="n">
        <v>43830</v>
      </c>
      <c r="AE138" s="19" t="n">
        <v>1</v>
      </c>
      <c r="AH138" s="19" t="n">
        <v>675000</v>
      </c>
      <c r="AI138" s="19" t="n">
        <v>0</v>
      </c>
      <c r="AL138" s="85" t="n">
        <v>43768</v>
      </c>
      <c r="AM138" s="19" t="n">
        <v>0.9044</v>
      </c>
      <c r="AR138" s="19" t="s">
        <v>117</v>
      </c>
      <c r="AS138" s="19" t="s">
        <v>117</v>
      </c>
      <c r="AT138" s="19" t="s">
        <v>313</v>
      </c>
      <c r="AU138" s="19" t="s">
        <v>978</v>
      </c>
      <c r="AV138" s="19" t="n">
        <v>4</v>
      </c>
      <c r="AX138" s="19" t="n">
        <v>4</v>
      </c>
      <c r="AY138" s="19" t="n">
        <v>2025</v>
      </c>
    </row>
    <row r="139" customFormat="false" ht="12.8" hidden="false" customHeight="false" outlineLevel="0" collapsed="false">
      <c r="A139" s="19" t="s">
        <v>29</v>
      </c>
      <c r="B139" s="19" t="s">
        <v>4</v>
      </c>
      <c r="C139" s="19" t="s">
        <v>30</v>
      </c>
      <c r="D139" s="19" t="s">
        <v>72</v>
      </c>
      <c r="E139" s="19" t="s">
        <v>73</v>
      </c>
      <c r="G139" s="19" t="s">
        <v>33</v>
      </c>
      <c r="H139" s="19" t="s">
        <v>47</v>
      </c>
      <c r="I139" s="19" t="s">
        <v>193</v>
      </c>
      <c r="J139" s="19" t="s">
        <v>75</v>
      </c>
      <c r="K139" s="19" t="s">
        <v>76</v>
      </c>
      <c r="L139" s="19" t="s">
        <v>322</v>
      </c>
      <c r="M139" s="19" t="n">
        <v>2017</v>
      </c>
      <c r="N139" s="19" t="n">
        <v>25</v>
      </c>
      <c r="O139" s="19" t="n">
        <v>25</v>
      </c>
      <c r="P139" s="19" t="n">
        <v>5000</v>
      </c>
      <c r="Q139" s="19" t="n">
        <v>5000</v>
      </c>
      <c r="R139" s="19" t="s">
        <v>39</v>
      </c>
      <c r="S139" s="19" t="s">
        <v>184</v>
      </c>
      <c r="T139" s="19" t="s">
        <v>185</v>
      </c>
      <c r="U139" s="19" t="n">
        <v>562500</v>
      </c>
      <c r="V139" s="19" t="n">
        <v>175000</v>
      </c>
      <c r="W139" s="19" t="n">
        <v>75000</v>
      </c>
      <c r="X139" s="19" t="s">
        <v>447</v>
      </c>
      <c r="Y139" s="19" t="n">
        <v>362500</v>
      </c>
      <c r="Z139" s="19" t="n">
        <v>75000</v>
      </c>
      <c r="AA139" s="19" t="n">
        <v>125000</v>
      </c>
      <c r="AB139" s="19" t="n">
        <v>562500</v>
      </c>
      <c r="AC139" s="85" t="n">
        <v>42822</v>
      </c>
      <c r="AD139" s="85" t="n">
        <v>43830</v>
      </c>
      <c r="AE139" s="19" t="n">
        <v>1</v>
      </c>
      <c r="AG139" s="85" t="n">
        <v>44376</v>
      </c>
      <c r="AH139" s="19" t="n">
        <v>0</v>
      </c>
      <c r="AI139" s="19" t="n">
        <v>562500</v>
      </c>
      <c r="AK139" s="85" t="n">
        <v>42823</v>
      </c>
      <c r="AL139" s="85" t="n">
        <v>43790</v>
      </c>
      <c r="AM139" s="19" t="n">
        <v>0.8706</v>
      </c>
      <c r="AN139" s="19" t="s">
        <v>323</v>
      </c>
      <c r="AO139" s="19" t="s">
        <v>324</v>
      </c>
      <c r="AQ139" s="85" t="n">
        <v>44558</v>
      </c>
      <c r="AR139" s="19" t="s">
        <v>325</v>
      </c>
      <c r="AS139" s="19" t="s">
        <v>326</v>
      </c>
      <c r="AT139" s="19" t="s">
        <v>313</v>
      </c>
      <c r="AU139" s="19" t="s">
        <v>979</v>
      </c>
      <c r="AV139" s="19" t="n">
        <v>3</v>
      </c>
      <c r="AX139" s="19" t="n">
        <v>3</v>
      </c>
      <c r="AY139" s="19" t="n">
        <v>2025</v>
      </c>
    </row>
    <row r="140" customFormat="false" ht="12.8" hidden="false" customHeight="false" outlineLevel="0" collapsed="false">
      <c r="A140" s="19" t="s">
        <v>29</v>
      </c>
      <c r="B140" s="19" t="s">
        <v>4</v>
      </c>
      <c r="C140" s="19" t="s">
        <v>30</v>
      </c>
      <c r="D140" s="19" t="s">
        <v>194</v>
      </c>
      <c r="E140" s="19" t="s">
        <v>32</v>
      </c>
      <c r="G140" s="19" t="s">
        <v>33</v>
      </c>
      <c r="H140" s="19" t="s">
        <v>47</v>
      </c>
      <c r="I140" s="19" t="s">
        <v>195</v>
      </c>
      <c r="J140" s="19" t="s">
        <v>196</v>
      </c>
      <c r="K140" s="19" t="s">
        <v>327</v>
      </c>
      <c r="L140" s="19" t="s">
        <v>328</v>
      </c>
      <c r="M140" s="19" t="n">
        <v>2017</v>
      </c>
      <c r="N140" s="19" t="n">
        <v>50</v>
      </c>
      <c r="O140" s="19" t="n">
        <v>50</v>
      </c>
      <c r="P140" s="19" t="n">
        <v>10000</v>
      </c>
      <c r="Q140" s="19" t="n">
        <v>10000</v>
      </c>
      <c r="R140" s="19" t="s">
        <v>39</v>
      </c>
      <c r="S140" s="19" t="s">
        <v>184</v>
      </c>
      <c r="T140" s="19" t="s">
        <v>185</v>
      </c>
      <c r="U140" s="19" t="n">
        <v>1125000</v>
      </c>
      <c r="V140" s="19" t="n">
        <v>350000</v>
      </c>
      <c r="W140" s="19" t="n">
        <v>325000</v>
      </c>
      <c r="X140" s="19" t="s">
        <v>447</v>
      </c>
      <c r="Y140" s="19" t="n">
        <v>725000</v>
      </c>
      <c r="Z140" s="19" t="n">
        <v>150000</v>
      </c>
      <c r="AA140" s="19" t="n">
        <v>250000</v>
      </c>
      <c r="AB140" s="19" t="n">
        <v>1125000</v>
      </c>
      <c r="AC140" s="85" t="n">
        <v>42822</v>
      </c>
      <c r="AD140" s="85" t="n">
        <v>43830</v>
      </c>
      <c r="AE140" s="19" t="n">
        <v>1</v>
      </c>
      <c r="AG140" s="85" t="n">
        <v>44376</v>
      </c>
      <c r="AH140" s="19" t="n">
        <v>0</v>
      </c>
      <c r="AI140" s="19" t="n">
        <v>1125000</v>
      </c>
      <c r="AK140" s="85" t="n">
        <v>42823</v>
      </c>
      <c r="AL140" s="85" t="n">
        <v>43757</v>
      </c>
      <c r="AM140" s="19" t="n">
        <v>0.8836</v>
      </c>
      <c r="AN140" s="19" t="s">
        <v>980</v>
      </c>
      <c r="AO140" s="19" t="s">
        <v>329</v>
      </c>
      <c r="AR140" s="19" t="s">
        <v>117</v>
      </c>
      <c r="AS140" s="19" t="s">
        <v>117</v>
      </c>
      <c r="AT140" s="19" t="s">
        <v>313</v>
      </c>
      <c r="AU140" s="19" t="s">
        <v>981</v>
      </c>
      <c r="AV140" s="19" t="n">
        <v>6</v>
      </c>
      <c r="AX140" s="19" t="n">
        <v>6</v>
      </c>
      <c r="AY140" s="19" t="n">
        <v>2025</v>
      </c>
    </row>
    <row r="141" customFormat="false" ht="12.8" hidden="false" customHeight="false" outlineLevel="0" collapsed="false">
      <c r="A141" s="19" t="s">
        <v>29</v>
      </c>
      <c r="B141" s="19" t="s">
        <v>4</v>
      </c>
      <c r="C141" s="19" t="s">
        <v>30</v>
      </c>
      <c r="D141" s="19" t="s">
        <v>31</v>
      </c>
      <c r="E141" s="19" t="s">
        <v>32</v>
      </c>
      <c r="G141" s="19" t="s">
        <v>33</v>
      </c>
      <c r="H141" s="19" t="s">
        <v>314</v>
      </c>
      <c r="I141" s="19" t="s">
        <v>197</v>
      </c>
      <c r="J141" s="19" t="s">
        <v>36</v>
      </c>
      <c r="K141" s="19" t="s">
        <v>37</v>
      </c>
      <c r="L141" s="19" t="s">
        <v>330</v>
      </c>
      <c r="M141" s="19" t="n">
        <v>2017</v>
      </c>
      <c r="N141" s="19" t="n">
        <v>40</v>
      </c>
      <c r="O141" s="19" t="n">
        <v>40</v>
      </c>
      <c r="P141" s="19" t="n">
        <v>8000</v>
      </c>
      <c r="Q141" s="19" t="n">
        <v>8000</v>
      </c>
      <c r="R141" s="19" t="s">
        <v>39</v>
      </c>
      <c r="S141" s="19" t="s">
        <v>184</v>
      </c>
      <c r="T141" s="19" t="s">
        <v>185</v>
      </c>
      <c r="U141" s="19" t="n">
        <v>900000</v>
      </c>
      <c r="V141" s="19" t="n">
        <v>280000</v>
      </c>
      <c r="W141" s="19" t="n">
        <v>260000</v>
      </c>
      <c r="X141" s="19" t="s">
        <v>447</v>
      </c>
      <c r="Y141" s="19" t="n">
        <v>580000</v>
      </c>
      <c r="Z141" s="19" t="n">
        <v>120000</v>
      </c>
      <c r="AA141" s="19" t="n">
        <v>200000</v>
      </c>
      <c r="AC141" s="85" t="n">
        <v>42823</v>
      </c>
      <c r="AD141" s="85" t="n">
        <v>43830</v>
      </c>
      <c r="AE141" s="19" t="n">
        <v>1</v>
      </c>
      <c r="AK141" s="85" t="n">
        <v>42822</v>
      </c>
      <c r="AL141" s="85" t="n">
        <v>43748</v>
      </c>
      <c r="AM141" s="19" t="n">
        <v>0.8832</v>
      </c>
      <c r="AN141" s="19" t="s">
        <v>331</v>
      </c>
      <c r="AO141" s="19" t="s">
        <v>982</v>
      </c>
      <c r="AR141" s="19" t="s">
        <v>311</v>
      </c>
      <c r="AS141" s="19" t="s">
        <v>312</v>
      </c>
      <c r="AT141" s="19" t="s">
        <v>313</v>
      </c>
      <c r="AU141" s="19" t="s">
        <v>974</v>
      </c>
      <c r="AV141" s="19" t="n">
        <v>5</v>
      </c>
      <c r="AX141" s="19" t="n">
        <v>5</v>
      </c>
      <c r="AY141" s="19" t="n">
        <v>2025</v>
      </c>
    </row>
    <row r="142" customFormat="false" ht="12.8" hidden="false" customHeight="false" outlineLevel="0" collapsed="false">
      <c r="A142" s="19" t="s">
        <v>29</v>
      </c>
      <c r="B142" s="19" t="s">
        <v>4</v>
      </c>
      <c r="C142" s="19" t="s">
        <v>30</v>
      </c>
      <c r="D142" s="19" t="s">
        <v>198</v>
      </c>
      <c r="E142" s="19" t="s">
        <v>79</v>
      </c>
      <c r="G142" s="19" t="s">
        <v>80</v>
      </c>
      <c r="H142" s="19" t="s">
        <v>34</v>
      </c>
      <c r="I142" s="19" t="s">
        <v>199</v>
      </c>
      <c r="J142" s="19" t="s">
        <v>200</v>
      </c>
      <c r="K142" s="19" t="s">
        <v>333</v>
      </c>
      <c r="L142" s="19" t="s">
        <v>334</v>
      </c>
      <c r="M142" s="19" t="n">
        <v>2017</v>
      </c>
      <c r="N142" s="19" t="n">
        <v>50</v>
      </c>
      <c r="O142" s="19" t="n">
        <v>50</v>
      </c>
      <c r="P142" s="19" t="n">
        <v>10000</v>
      </c>
      <c r="Q142" s="19" t="n">
        <v>10000</v>
      </c>
      <c r="R142" s="19" t="s">
        <v>39</v>
      </c>
      <c r="S142" s="19" t="s">
        <v>184</v>
      </c>
      <c r="T142" s="19" t="s">
        <v>185</v>
      </c>
      <c r="U142" s="19" t="n">
        <v>1125000</v>
      </c>
      <c r="V142" s="19" t="n">
        <v>350000</v>
      </c>
      <c r="W142" s="19" t="n">
        <v>325000</v>
      </c>
      <c r="X142" s="19" t="s">
        <v>447</v>
      </c>
      <c r="Y142" s="19" t="n">
        <v>725000</v>
      </c>
      <c r="Z142" s="19" t="n">
        <v>150000</v>
      </c>
      <c r="AA142" s="19" t="n">
        <v>250000</v>
      </c>
      <c r="AB142" s="19" t="n">
        <v>1125000</v>
      </c>
      <c r="AC142" s="85" t="n">
        <v>42822</v>
      </c>
      <c r="AD142" s="85" t="n">
        <v>43830</v>
      </c>
      <c r="AE142" s="19" t="n">
        <v>1</v>
      </c>
      <c r="AG142" s="85" t="n">
        <v>44368</v>
      </c>
      <c r="AH142" s="19" t="n">
        <v>0</v>
      </c>
      <c r="AI142" s="19" t="n">
        <v>1125000</v>
      </c>
      <c r="AK142" s="85" t="n">
        <v>42822</v>
      </c>
      <c r="AL142" s="85" t="n">
        <v>43783</v>
      </c>
      <c r="AM142" s="19" t="n">
        <v>0.8676</v>
      </c>
      <c r="AN142" s="19" t="s">
        <v>464</v>
      </c>
      <c r="AO142" s="19" t="s">
        <v>335</v>
      </c>
      <c r="AP142" s="19" t="s">
        <v>336</v>
      </c>
      <c r="AR142" s="19" t="s">
        <v>117</v>
      </c>
      <c r="AS142" s="19" t="s">
        <v>117</v>
      </c>
      <c r="AT142" s="19" t="s">
        <v>313</v>
      </c>
      <c r="AU142" s="19" t="s">
        <v>983</v>
      </c>
      <c r="AV142" s="19" t="n">
        <v>6</v>
      </c>
      <c r="AX142" s="19" t="n">
        <v>6</v>
      </c>
      <c r="AY142" s="19" t="n">
        <v>2025</v>
      </c>
    </row>
    <row r="143" customFormat="false" ht="12.8" hidden="false" customHeight="false" outlineLevel="0" collapsed="false">
      <c r="A143" s="19" t="s">
        <v>29</v>
      </c>
      <c r="B143" s="19" t="s">
        <v>4</v>
      </c>
      <c r="C143" s="19" t="s">
        <v>30</v>
      </c>
      <c r="D143" s="19" t="s">
        <v>55</v>
      </c>
      <c r="E143" s="19" t="s">
        <v>32</v>
      </c>
      <c r="G143" s="19" t="s">
        <v>33</v>
      </c>
      <c r="H143" s="19" t="s">
        <v>47</v>
      </c>
      <c r="I143" s="19" t="s">
        <v>201</v>
      </c>
      <c r="J143" s="19" t="s">
        <v>796</v>
      </c>
      <c r="K143" s="19" t="s">
        <v>337</v>
      </c>
      <c r="L143" s="19" t="s">
        <v>338</v>
      </c>
      <c r="M143" s="19" t="n">
        <v>2017</v>
      </c>
      <c r="N143" s="19" t="n">
        <v>50</v>
      </c>
      <c r="O143" s="19" t="n">
        <v>50</v>
      </c>
      <c r="P143" s="19" t="n">
        <v>10000</v>
      </c>
      <c r="Q143" s="19" t="n">
        <v>10000</v>
      </c>
      <c r="R143" s="19" t="s">
        <v>39</v>
      </c>
      <c r="S143" s="19" t="s">
        <v>184</v>
      </c>
      <c r="T143" s="19" t="s">
        <v>185</v>
      </c>
      <c r="U143" s="19" t="n">
        <v>1125000</v>
      </c>
      <c r="V143" s="19" t="n">
        <v>350000</v>
      </c>
      <c r="W143" s="19" t="n">
        <v>325000</v>
      </c>
      <c r="X143" s="19" t="s">
        <v>447</v>
      </c>
      <c r="Y143" s="19" t="n">
        <v>725000</v>
      </c>
      <c r="Z143" s="19" t="n">
        <v>150000</v>
      </c>
      <c r="AA143" s="19" t="n">
        <v>250000</v>
      </c>
      <c r="AB143" s="19" t="n">
        <v>1125000</v>
      </c>
      <c r="AC143" s="85" t="n">
        <v>42824</v>
      </c>
      <c r="AD143" s="85" t="n">
        <v>43830</v>
      </c>
      <c r="AE143" s="19" t="n">
        <v>1</v>
      </c>
      <c r="AG143" s="85" t="n">
        <v>44382</v>
      </c>
      <c r="AH143" s="19" t="n">
        <v>0</v>
      </c>
      <c r="AI143" s="19" t="n">
        <v>1125000</v>
      </c>
      <c r="AK143" s="85" t="n">
        <v>42823</v>
      </c>
      <c r="AL143" s="85" t="n">
        <v>43718</v>
      </c>
      <c r="AM143" s="19" t="n">
        <v>0.8824</v>
      </c>
      <c r="AN143" s="19" t="s">
        <v>339</v>
      </c>
      <c r="AO143" s="19" t="s">
        <v>984</v>
      </c>
      <c r="AR143" s="19" t="s">
        <v>325</v>
      </c>
      <c r="AS143" s="19" t="s">
        <v>341</v>
      </c>
      <c r="AT143" s="19" t="s">
        <v>313</v>
      </c>
      <c r="AU143" s="19" t="s">
        <v>985</v>
      </c>
      <c r="AV143" s="19" t="n">
        <v>6</v>
      </c>
      <c r="AX143" s="19" t="n">
        <v>6</v>
      </c>
      <c r="AY143" s="19" t="n">
        <v>2025</v>
      </c>
    </row>
    <row r="144" customFormat="false" ht="12.8" hidden="false" customHeight="false" outlineLevel="0" collapsed="false">
      <c r="A144" s="19" t="s">
        <v>29</v>
      </c>
      <c r="B144" s="19" t="s">
        <v>4</v>
      </c>
      <c r="C144" s="19" t="s">
        <v>30</v>
      </c>
      <c r="D144" s="19" t="s">
        <v>203</v>
      </c>
      <c r="E144" s="19" t="s">
        <v>204</v>
      </c>
      <c r="G144" s="19" t="s">
        <v>33</v>
      </c>
      <c r="H144" s="19" t="s">
        <v>47</v>
      </c>
      <c r="I144" s="19" t="s">
        <v>205</v>
      </c>
      <c r="J144" s="19" t="s">
        <v>206</v>
      </c>
      <c r="K144" s="19" t="s">
        <v>342</v>
      </c>
      <c r="L144" s="19" t="s">
        <v>343</v>
      </c>
      <c r="M144" s="19" t="n">
        <v>2017</v>
      </c>
      <c r="N144" s="19" t="n">
        <v>25</v>
      </c>
      <c r="O144" s="19" t="n">
        <v>25</v>
      </c>
      <c r="P144" s="19" t="n">
        <v>5000</v>
      </c>
      <c r="Q144" s="19" t="n">
        <v>5000</v>
      </c>
      <c r="R144" s="19" t="s">
        <v>39</v>
      </c>
      <c r="S144" s="19" t="s">
        <v>184</v>
      </c>
      <c r="T144" s="19" t="s">
        <v>185</v>
      </c>
      <c r="U144" s="19" t="n">
        <v>562500</v>
      </c>
      <c r="V144" s="19" t="n">
        <v>175000</v>
      </c>
      <c r="W144" s="19" t="n">
        <v>162500</v>
      </c>
      <c r="X144" s="19" t="s">
        <v>447</v>
      </c>
      <c r="Y144" s="19" t="n">
        <v>250000</v>
      </c>
      <c r="Z144" s="19" t="n">
        <v>75000</v>
      </c>
      <c r="AA144" s="19" t="n">
        <v>125000</v>
      </c>
      <c r="AB144" s="19" t="n">
        <v>562500</v>
      </c>
      <c r="AC144" s="85" t="n">
        <v>42822</v>
      </c>
      <c r="AD144" s="85" t="n">
        <v>43830</v>
      </c>
      <c r="AE144" s="19" t="n">
        <v>1</v>
      </c>
      <c r="AG144" s="85" t="n">
        <v>44376</v>
      </c>
      <c r="AH144" s="19" t="n">
        <v>0</v>
      </c>
      <c r="AI144" s="19" t="n">
        <v>562500</v>
      </c>
      <c r="AK144" s="85" t="n">
        <v>42823</v>
      </c>
      <c r="AL144" s="85" t="n">
        <v>43739</v>
      </c>
      <c r="AM144" s="19" t="n">
        <v>0.8752</v>
      </c>
      <c r="AN144" s="19" t="s">
        <v>986</v>
      </c>
      <c r="AO144" s="19" t="s">
        <v>344</v>
      </c>
      <c r="AR144" s="19" t="s">
        <v>117</v>
      </c>
      <c r="AS144" s="19" t="s">
        <v>117</v>
      </c>
      <c r="AT144" s="19" t="s">
        <v>313</v>
      </c>
      <c r="AU144" s="19" t="s">
        <v>987</v>
      </c>
      <c r="AV144" s="19" t="n">
        <v>3</v>
      </c>
      <c r="AX144" s="19" t="n">
        <v>3</v>
      </c>
      <c r="AY144" s="19" t="n">
        <v>2025</v>
      </c>
    </row>
    <row r="145" customFormat="false" ht="12.8" hidden="false" customHeight="false" outlineLevel="0" collapsed="false">
      <c r="A145" s="19" t="s">
        <v>29</v>
      </c>
      <c r="B145" s="19" t="s">
        <v>4</v>
      </c>
      <c r="C145" s="19" t="s">
        <v>43</v>
      </c>
      <c r="D145" s="19" t="s">
        <v>107</v>
      </c>
      <c r="E145" s="19" t="s">
        <v>45</v>
      </c>
      <c r="G145" s="19" t="s">
        <v>80</v>
      </c>
      <c r="H145" s="19" t="s">
        <v>47</v>
      </c>
      <c r="I145" s="19" t="s">
        <v>207</v>
      </c>
      <c r="J145" s="19" t="s">
        <v>111</v>
      </c>
      <c r="K145" s="19" t="s">
        <v>988</v>
      </c>
      <c r="L145" s="19" t="s">
        <v>346</v>
      </c>
      <c r="M145" s="19" t="n">
        <v>2017</v>
      </c>
      <c r="N145" s="19" t="n">
        <v>50</v>
      </c>
      <c r="O145" s="19" t="n">
        <v>50</v>
      </c>
      <c r="P145" s="19" t="n">
        <v>83300</v>
      </c>
      <c r="Q145" s="19" t="n">
        <v>83300</v>
      </c>
      <c r="R145" s="19" t="s">
        <v>39</v>
      </c>
      <c r="S145" s="19" t="s">
        <v>53</v>
      </c>
      <c r="T145" s="19" t="s">
        <v>209</v>
      </c>
      <c r="U145" s="19" t="n">
        <v>2041400</v>
      </c>
      <c r="V145" s="19" t="n">
        <v>625000</v>
      </c>
      <c r="W145" s="19" t="n">
        <v>325000</v>
      </c>
      <c r="X145" s="19" t="s">
        <v>447</v>
      </c>
      <c r="Y145" s="19" t="n">
        <v>500000</v>
      </c>
      <c r="Z145" s="19" t="n">
        <v>150000</v>
      </c>
      <c r="AA145" s="19" t="n">
        <v>250000</v>
      </c>
      <c r="AB145" s="19" t="n">
        <v>2041400</v>
      </c>
      <c r="AC145" s="85" t="n">
        <v>42810</v>
      </c>
      <c r="AD145" s="85" t="n">
        <v>43830</v>
      </c>
      <c r="AE145" s="19" t="n">
        <v>1</v>
      </c>
      <c r="AG145" s="85" t="n">
        <v>44382</v>
      </c>
      <c r="AH145" s="19" t="n">
        <v>0</v>
      </c>
      <c r="AI145" s="19" t="n">
        <v>2041400</v>
      </c>
      <c r="AK145" s="85" t="n">
        <v>42823</v>
      </c>
      <c r="AL145" s="85" t="n">
        <v>43720</v>
      </c>
      <c r="AM145" s="19" t="n">
        <v>0.8873</v>
      </c>
      <c r="AR145" s="19" t="s">
        <v>117</v>
      </c>
      <c r="AS145" s="19" t="s">
        <v>117</v>
      </c>
      <c r="AT145" s="19" t="s">
        <v>313</v>
      </c>
      <c r="AU145" s="19" t="s">
        <v>989</v>
      </c>
      <c r="AV145" s="19" t="n">
        <v>6</v>
      </c>
      <c r="AX145" s="19" t="n">
        <v>6</v>
      </c>
      <c r="AY145" s="19" t="n">
        <v>2025</v>
      </c>
    </row>
    <row r="146" customFormat="false" ht="12.8" hidden="false" customHeight="false" outlineLevel="0" collapsed="false">
      <c r="A146" s="19" t="s">
        <v>29</v>
      </c>
      <c r="B146" s="19" t="s">
        <v>4</v>
      </c>
      <c r="C146" s="19" t="s">
        <v>30</v>
      </c>
      <c r="D146" s="19" t="s">
        <v>151</v>
      </c>
      <c r="E146" s="19" t="s">
        <v>32</v>
      </c>
      <c r="G146" s="19" t="s">
        <v>33</v>
      </c>
      <c r="H146" s="19" t="s">
        <v>34</v>
      </c>
      <c r="I146" s="19" t="s">
        <v>210</v>
      </c>
      <c r="J146" s="19" t="s">
        <v>171</v>
      </c>
      <c r="K146" s="19" t="s">
        <v>320</v>
      </c>
      <c r="L146" s="19" t="s">
        <v>347</v>
      </c>
      <c r="M146" s="19" t="n">
        <v>2017</v>
      </c>
      <c r="N146" s="19" t="n">
        <v>50</v>
      </c>
      <c r="O146" s="19" t="n">
        <v>50</v>
      </c>
      <c r="P146" s="19" t="n">
        <v>83300</v>
      </c>
      <c r="Q146" s="19" t="n">
        <v>83300</v>
      </c>
      <c r="R146" s="19" t="s">
        <v>39</v>
      </c>
      <c r="S146" s="19" t="s">
        <v>211</v>
      </c>
      <c r="T146" s="19" t="s">
        <v>212</v>
      </c>
      <c r="U146" s="19" t="n">
        <v>2041400</v>
      </c>
      <c r="V146" s="19" t="n">
        <v>625000</v>
      </c>
      <c r="W146" s="19" t="n">
        <v>325000</v>
      </c>
      <c r="X146" s="19" t="s">
        <v>447</v>
      </c>
      <c r="Y146" s="19" t="n">
        <v>500000</v>
      </c>
      <c r="Z146" s="19" t="n">
        <v>150000</v>
      </c>
      <c r="AA146" s="19" t="n">
        <v>250000</v>
      </c>
      <c r="AB146" s="19" t="n">
        <v>1891400</v>
      </c>
      <c r="AC146" s="85" t="n">
        <v>42824</v>
      </c>
      <c r="AD146" s="85" t="n">
        <v>43830</v>
      </c>
      <c r="AE146" s="19" t="n">
        <v>1</v>
      </c>
      <c r="AF146" s="19" t="n">
        <v>204140</v>
      </c>
      <c r="AG146" s="85" t="n">
        <v>45849</v>
      </c>
      <c r="AH146" s="19" t="n">
        <v>2041400</v>
      </c>
      <c r="AI146" s="19" t="n">
        <v>0</v>
      </c>
      <c r="AK146" s="85" t="n">
        <v>42794</v>
      </c>
      <c r="AL146" s="85" t="n">
        <v>43767</v>
      </c>
      <c r="AM146" s="19" t="n">
        <v>0.8991</v>
      </c>
      <c r="AR146" s="19" t="s">
        <v>117</v>
      </c>
      <c r="AS146" s="19" t="s">
        <v>117</v>
      </c>
      <c r="AT146" s="19" t="s">
        <v>313</v>
      </c>
      <c r="AV146" s="19" t="n">
        <v>6</v>
      </c>
      <c r="AX146" s="19" t="n">
        <v>6</v>
      </c>
      <c r="AY146" s="19" t="n">
        <v>2025</v>
      </c>
    </row>
    <row r="147" customFormat="false" ht="12.8" hidden="false" customHeight="false" outlineLevel="0" collapsed="false">
      <c r="A147" s="19" t="s">
        <v>29</v>
      </c>
      <c r="B147" s="19" t="s">
        <v>4</v>
      </c>
      <c r="C147" s="19" t="s">
        <v>30</v>
      </c>
      <c r="D147" s="19" t="s">
        <v>213</v>
      </c>
      <c r="E147" s="19" t="s">
        <v>178</v>
      </c>
      <c r="G147" s="19" t="s">
        <v>33</v>
      </c>
      <c r="H147" s="19" t="s">
        <v>47</v>
      </c>
      <c r="I147" s="19" t="s">
        <v>214</v>
      </c>
      <c r="J147" s="19" t="s">
        <v>530</v>
      </c>
      <c r="K147" s="19" t="s">
        <v>348</v>
      </c>
      <c r="L147" s="19" t="s">
        <v>349</v>
      </c>
      <c r="M147" s="19" t="n">
        <v>2017</v>
      </c>
      <c r="N147" s="19" t="n">
        <v>50</v>
      </c>
      <c r="O147" s="19" t="n">
        <v>50</v>
      </c>
      <c r="P147" s="19" t="n">
        <v>83300</v>
      </c>
      <c r="Q147" s="19" t="n">
        <v>83300</v>
      </c>
      <c r="R147" s="19" t="s">
        <v>52</v>
      </c>
      <c r="S147" s="19" t="s">
        <v>53</v>
      </c>
      <c r="T147" s="19" t="s">
        <v>216</v>
      </c>
      <c r="U147" s="19" t="n">
        <v>2041400</v>
      </c>
      <c r="V147" s="19" t="n">
        <v>625000</v>
      </c>
      <c r="W147" s="19" t="n">
        <v>325000</v>
      </c>
      <c r="X147" s="19" t="s">
        <v>447</v>
      </c>
      <c r="Y147" s="19" t="n">
        <v>500000</v>
      </c>
      <c r="Z147" s="19" t="n">
        <v>150000</v>
      </c>
      <c r="AA147" s="19" t="n">
        <v>250000</v>
      </c>
      <c r="AB147" s="19" t="n">
        <v>2041400</v>
      </c>
      <c r="AC147" s="85" t="n">
        <v>42810</v>
      </c>
      <c r="AD147" s="85" t="n">
        <v>43830</v>
      </c>
      <c r="AE147" s="19" t="n">
        <v>1</v>
      </c>
      <c r="AG147" s="85" t="n">
        <v>44382</v>
      </c>
      <c r="AH147" s="19" t="n">
        <v>0</v>
      </c>
      <c r="AI147" s="19" t="n">
        <v>2041400</v>
      </c>
      <c r="AK147" s="85" t="n">
        <v>42802</v>
      </c>
      <c r="AL147" s="85" t="n">
        <v>43789</v>
      </c>
      <c r="AM147" s="19" t="n">
        <v>0.8558</v>
      </c>
      <c r="AR147" s="19" t="s">
        <v>311</v>
      </c>
      <c r="AS147" s="19" t="s">
        <v>312</v>
      </c>
      <c r="AT147" s="19" t="s">
        <v>313</v>
      </c>
      <c r="AU147" s="19" t="s">
        <v>990</v>
      </c>
      <c r="AV147" s="19" t="n">
        <v>6</v>
      </c>
      <c r="AX147" s="19" t="n">
        <v>6</v>
      </c>
      <c r="AY147" s="19" t="n">
        <v>2025</v>
      </c>
    </row>
    <row r="148" customFormat="false" ht="12.8" hidden="false" customHeight="false" outlineLevel="0" collapsed="false">
      <c r="A148" s="19" t="s">
        <v>29</v>
      </c>
      <c r="B148" s="19" t="s">
        <v>4</v>
      </c>
      <c r="C148" s="19" t="s">
        <v>30</v>
      </c>
      <c r="D148" s="19" t="s">
        <v>217</v>
      </c>
      <c r="E148" s="19" t="s">
        <v>32</v>
      </c>
      <c r="G148" s="19" t="s">
        <v>33</v>
      </c>
      <c r="H148" s="19" t="s">
        <v>47</v>
      </c>
      <c r="I148" s="19" t="s">
        <v>218</v>
      </c>
      <c r="J148" s="19" t="s">
        <v>843</v>
      </c>
      <c r="K148" s="19" t="s">
        <v>350</v>
      </c>
      <c r="L148" s="19" t="s">
        <v>351</v>
      </c>
      <c r="M148" s="19" t="n">
        <v>2017</v>
      </c>
      <c r="N148" s="19" t="n">
        <v>50</v>
      </c>
      <c r="O148" s="19" t="n">
        <v>50</v>
      </c>
      <c r="P148" s="19" t="n">
        <v>83300</v>
      </c>
      <c r="Q148" s="19" t="n">
        <v>83300</v>
      </c>
      <c r="R148" s="19" t="s">
        <v>52</v>
      </c>
      <c r="S148" s="19" t="s">
        <v>53</v>
      </c>
      <c r="T148" s="19" t="s">
        <v>180</v>
      </c>
      <c r="U148" s="19" t="n">
        <v>2041400</v>
      </c>
      <c r="V148" s="19" t="n">
        <v>625000</v>
      </c>
      <c r="W148" s="19" t="n">
        <v>325000</v>
      </c>
      <c r="X148" s="19" t="s">
        <v>447</v>
      </c>
      <c r="Y148" s="19" t="n">
        <v>500000</v>
      </c>
      <c r="Z148" s="19" t="n">
        <v>150000</v>
      </c>
      <c r="AA148" s="19" t="n">
        <v>250000</v>
      </c>
      <c r="AB148" s="19" t="n">
        <v>1891400</v>
      </c>
      <c r="AC148" s="85" t="n">
        <v>42807</v>
      </c>
      <c r="AD148" s="85" t="n">
        <v>43830</v>
      </c>
      <c r="AE148" s="19" t="n">
        <v>1</v>
      </c>
      <c r="AF148" s="19" t="n">
        <v>204140</v>
      </c>
      <c r="AG148" s="85" t="n">
        <v>45848</v>
      </c>
      <c r="AH148" s="19" t="n">
        <v>2041400</v>
      </c>
      <c r="AI148" s="19" t="n">
        <v>0</v>
      </c>
      <c r="AK148" s="85" t="n">
        <v>42845</v>
      </c>
      <c r="AL148" s="85" t="n">
        <v>43713</v>
      </c>
      <c r="AM148" s="19" t="n">
        <v>0.9371</v>
      </c>
      <c r="AN148" s="19" t="s">
        <v>960</v>
      </c>
      <c r="AO148" s="19" t="s">
        <v>352</v>
      </c>
      <c r="AR148" s="19" t="s">
        <v>117</v>
      </c>
      <c r="AS148" s="19" t="s">
        <v>117</v>
      </c>
      <c r="AT148" s="19" t="s">
        <v>313</v>
      </c>
      <c r="AU148" s="19" t="s">
        <v>991</v>
      </c>
      <c r="AV148" s="19" t="n">
        <v>6</v>
      </c>
      <c r="AX148" s="19" t="n">
        <v>6</v>
      </c>
      <c r="AY148" s="19" t="n">
        <v>2025</v>
      </c>
    </row>
    <row r="149" customFormat="false" ht="12.8" hidden="false" customHeight="false" outlineLevel="0" collapsed="false">
      <c r="A149" s="19" t="s">
        <v>29</v>
      </c>
      <c r="B149" s="19" t="s">
        <v>4</v>
      </c>
      <c r="C149" s="19" t="s">
        <v>30</v>
      </c>
      <c r="D149" s="19" t="s">
        <v>220</v>
      </c>
      <c r="E149" s="19" t="s">
        <v>221</v>
      </c>
      <c r="G149" s="19" t="s">
        <v>33</v>
      </c>
      <c r="H149" s="19" t="s">
        <v>47</v>
      </c>
      <c r="I149" s="19" t="s">
        <v>222</v>
      </c>
      <c r="J149" s="19" t="s">
        <v>740</v>
      </c>
      <c r="K149" s="19" t="s">
        <v>992</v>
      </c>
      <c r="L149" s="19" t="s">
        <v>354</v>
      </c>
      <c r="M149" s="19" t="n">
        <v>2017</v>
      </c>
      <c r="N149" s="19" t="n">
        <v>50</v>
      </c>
      <c r="O149" s="19" t="n">
        <v>50</v>
      </c>
      <c r="P149" s="19" t="n">
        <v>83300</v>
      </c>
      <c r="Q149" s="19" t="n">
        <v>83300</v>
      </c>
      <c r="R149" s="19" t="s">
        <v>52</v>
      </c>
      <c r="S149" s="19" t="s">
        <v>53</v>
      </c>
      <c r="T149" s="19" t="s">
        <v>224</v>
      </c>
      <c r="U149" s="19" t="n">
        <v>2041400</v>
      </c>
      <c r="V149" s="19" t="n">
        <v>625000</v>
      </c>
      <c r="W149" s="19" t="n">
        <v>325000</v>
      </c>
      <c r="X149" s="19" t="s">
        <v>447</v>
      </c>
      <c r="Y149" s="19" t="n">
        <v>500000</v>
      </c>
      <c r="Z149" s="19" t="n">
        <v>150000</v>
      </c>
      <c r="AA149" s="19" t="n">
        <v>250000</v>
      </c>
      <c r="AB149" s="19" t="n">
        <v>2041400</v>
      </c>
      <c r="AC149" s="85" t="n">
        <v>42804</v>
      </c>
      <c r="AD149" s="85" t="n">
        <v>43830</v>
      </c>
      <c r="AE149" s="19" t="n">
        <v>1</v>
      </c>
      <c r="AH149" s="19" t="n">
        <v>0</v>
      </c>
      <c r="AI149" s="19" t="n">
        <v>2041400</v>
      </c>
      <c r="AK149" s="85" t="n">
        <v>42822</v>
      </c>
      <c r="AL149" s="85" t="n">
        <v>43728</v>
      </c>
      <c r="AM149" s="19" t="n">
        <v>0.864</v>
      </c>
      <c r="AR149" s="19" t="s">
        <v>325</v>
      </c>
      <c r="AS149" s="19" t="s">
        <v>356</v>
      </c>
      <c r="AT149" s="19" t="s">
        <v>313</v>
      </c>
      <c r="AU149" s="19" t="s">
        <v>993</v>
      </c>
      <c r="AV149" s="19" t="n">
        <v>6</v>
      </c>
      <c r="AX149" s="19" t="n">
        <v>6</v>
      </c>
      <c r="AY149" s="19" t="n">
        <v>2025</v>
      </c>
    </row>
    <row r="150" customFormat="false" ht="12.8" hidden="false" customHeight="false" outlineLevel="0" collapsed="false">
      <c r="A150" s="19" t="s">
        <v>29</v>
      </c>
      <c r="B150" s="19" t="s">
        <v>4</v>
      </c>
      <c r="C150" s="19" t="s">
        <v>30</v>
      </c>
      <c r="D150" s="19" t="s">
        <v>31</v>
      </c>
      <c r="E150" s="19" t="s">
        <v>32</v>
      </c>
      <c r="G150" s="19" t="s">
        <v>33</v>
      </c>
      <c r="H150" s="19" t="s">
        <v>34</v>
      </c>
      <c r="I150" s="19" t="s">
        <v>225</v>
      </c>
      <c r="J150" s="19" t="s">
        <v>36</v>
      </c>
      <c r="K150" s="19" t="s">
        <v>37</v>
      </c>
      <c r="L150" s="19" t="s">
        <v>357</v>
      </c>
      <c r="M150" s="19" t="n">
        <v>2017</v>
      </c>
      <c r="N150" s="19" t="n">
        <v>50</v>
      </c>
      <c r="O150" s="19" t="n">
        <v>50</v>
      </c>
      <c r="P150" s="19" t="n">
        <v>83300</v>
      </c>
      <c r="Q150" s="19" t="n">
        <v>83300</v>
      </c>
      <c r="R150" s="19" t="s">
        <v>52</v>
      </c>
      <c r="S150" s="19" t="s">
        <v>53</v>
      </c>
      <c r="T150" s="19" t="s">
        <v>180</v>
      </c>
      <c r="U150" s="19" t="n">
        <v>2041400</v>
      </c>
      <c r="V150" s="19" t="n">
        <v>625000</v>
      </c>
      <c r="W150" s="19" t="n">
        <v>325000</v>
      </c>
      <c r="X150" s="19" t="s">
        <v>447</v>
      </c>
      <c r="Y150" s="19" t="n">
        <v>500000</v>
      </c>
      <c r="Z150" s="19" t="n">
        <v>150000</v>
      </c>
      <c r="AA150" s="19" t="n">
        <v>250000</v>
      </c>
      <c r="AB150" s="19" t="n">
        <v>1891400</v>
      </c>
      <c r="AC150" s="85" t="n">
        <v>42824</v>
      </c>
      <c r="AD150" s="85" t="n">
        <v>43830</v>
      </c>
      <c r="AE150" s="19" t="n">
        <v>1</v>
      </c>
      <c r="AH150" s="19" t="n">
        <v>2041400</v>
      </c>
      <c r="AI150" s="19" t="n">
        <v>0</v>
      </c>
      <c r="AK150" s="85" t="n">
        <v>42823</v>
      </c>
      <c r="AL150" s="85" t="n">
        <v>43749</v>
      </c>
      <c r="AM150" s="19" t="n">
        <v>0.8668</v>
      </c>
      <c r="AN150" s="19" t="s">
        <v>358</v>
      </c>
      <c r="AO150" s="19" t="s">
        <v>994</v>
      </c>
      <c r="AR150" s="19" t="s">
        <v>117</v>
      </c>
      <c r="AS150" s="19" t="s">
        <v>117</v>
      </c>
      <c r="AT150" s="19" t="s">
        <v>313</v>
      </c>
      <c r="AU150" s="19" t="s">
        <v>995</v>
      </c>
      <c r="AV150" s="19" t="n">
        <v>6</v>
      </c>
      <c r="AX150" s="19" t="n">
        <v>6</v>
      </c>
      <c r="AY150" s="19" t="n">
        <v>2025</v>
      </c>
    </row>
    <row r="151" customFormat="false" ht="12.8" hidden="false" customHeight="false" outlineLevel="0" collapsed="false">
      <c r="A151" s="19" t="s">
        <v>29</v>
      </c>
      <c r="B151" s="19" t="s">
        <v>4</v>
      </c>
      <c r="C151" s="19" t="s">
        <v>30</v>
      </c>
      <c r="D151" s="19" t="s">
        <v>55</v>
      </c>
      <c r="E151" s="19" t="s">
        <v>32</v>
      </c>
      <c r="G151" s="19" t="s">
        <v>33</v>
      </c>
      <c r="H151" s="19" t="s">
        <v>47</v>
      </c>
      <c r="I151" s="19" t="s">
        <v>226</v>
      </c>
      <c r="J151" s="19" t="s">
        <v>57</v>
      </c>
      <c r="K151" s="19" t="s">
        <v>58</v>
      </c>
      <c r="L151" s="19" t="s">
        <v>360</v>
      </c>
      <c r="M151" s="19" t="n">
        <v>2017</v>
      </c>
      <c r="N151" s="19" t="n">
        <v>50</v>
      </c>
      <c r="O151" s="19" t="n">
        <v>50</v>
      </c>
      <c r="P151" s="19" t="n">
        <v>83300</v>
      </c>
      <c r="Q151" s="19" t="n">
        <v>83300</v>
      </c>
      <c r="R151" s="19" t="s">
        <v>52</v>
      </c>
      <c r="S151" s="19" t="s">
        <v>53</v>
      </c>
      <c r="T151" s="19" t="s">
        <v>180</v>
      </c>
      <c r="U151" s="19" t="n">
        <v>2041400</v>
      </c>
      <c r="V151" s="19" t="n">
        <v>625000</v>
      </c>
      <c r="W151" s="19" t="n">
        <v>325000</v>
      </c>
      <c r="X151" s="19" t="s">
        <v>447</v>
      </c>
      <c r="Y151" s="19" t="n">
        <v>500000</v>
      </c>
      <c r="Z151" s="19" t="n">
        <v>150000</v>
      </c>
      <c r="AA151" s="19" t="n">
        <v>250000</v>
      </c>
      <c r="AB151" s="19" t="n">
        <v>1891400</v>
      </c>
      <c r="AC151" s="85" t="n">
        <v>42807</v>
      </c>
      <c r="AD151" s="85" t="n">
        <v>43830</v>
      </c>
      <c r="AE151" s="19" t="n">
        <v>1</v>
      </c>
      <c r="AF151" s="19" t="n">
        <v>204140</v>
      </c>
      <c r="AG151" s="85" t="n">
        <v>45848</v>
      </c>
      <c r="AH151" s="19" t="n">
        <v>2041400</v>
      </c>
      <c r="AI151" s="19" t="n">
        <v>0</v>
      </c>
      <c r="AK151" s="85" t="n">
        <v>42820</v>
      </c>
      <c r="AL151" s="85" t="n">
        <v>43720</v>
      </c>
      <c r="AM151" s="19" t="n">
        <v>0.92</v>
      </c>
      <c r="AQ151" s="85" t="n">
        <v>44558</v>
      </c>
      <c r="AR151" s="19" t="s">
        <v>325</v>
      </c>
      <c r="AS151" s="19" t="s">
        <v>361</v>
      </c>
      <c r="AT151" s="19" t="s">
        <v>313</v>
      </c>
      <c r="AU151" s="19" t="s">
        <v>996</v>
      </c>
      <c r="AV151" s="19" t="n">
        <v>6</v>
      </c>
      <c r="AX151" s="19" t="n">
        <v>6</v>
      </c>
      <c r="AY151" s="19" t="n">
        <v>2025</v>
      </c>
    </row>
    <row r="152" customFormat="false" ht="12.8" hidden="false" customHeight="false" outlineLevel="0" collapsed="false">
      <c r="A152" s="19" t="s">
        <v>29</v>
      </c>
      <c r="B152" s="19" t="s">
        <v>4</v>
      </c>
      <c r="C152" s="19" t="s">
        <v>30</v>
      </c>
      <c r="D152" s="19" t="s">
        <v>55</v>
      </c>
      <c r="E152" s="19" t="s">
        <v>32</v>
      </c>
      <c r="G152" s="19" t="s">
        <v>33</v>
      </c>
      <c r="H152" s="19" t="s">
        <v>47</v>
      </c>
      <c r="I152" s="19" t="s">
        <v>227</v>
      </c>
      <c r="J152" s="19" t="s">
        <v>966</v>
      </c>
      <c r="K152" s="19" t="s">
        <v>362</v>
      </c>
      <c r="L152" s="19" t="s">
        <v>363</v>
      </c>
      <c r="M152" s="19" t="n">
        <v>2017</v>
      </c>
      <c r="N152" s="19" t="n">
        <v>50</v>
      </c>
      <c r="O152" s="19" t="n">
        <v>50</v>
      </c>
      <c r="P152" s="19" t="n">
        <v>83586</v>
      </c>
      <c r="Q152" s="19" t="n">
        <v>83586</v>
      </c>
      <c r="R152" s="19" t="s">
        <v>52</v>
      </c>
      <c r="S152" s="19" t="s">
        <v>53</v>
      </c>
      <c r="T152" s="19" t="s">
        <v>180</v>
      </c>
      <c r="U152" s="19" t="n">
        <v>2041400</v>
      </c>
      <c r="V152" s="19" t="n">
        <v>625000</v>
      </c>
      <c r="W152" s="19" t="n">
        <v>325000</v>
      </c>
      <c r="X152" s="19" t="s">
        <v>447</v>
      </c>
      <c r="Y152" s="19" t="n">
        <v>500000</v>
      </c>
      <c r="Z152" s="19" t="n">
        <v>150000</v>
      </c>
      <c r="AA152" s="19" t="n">
        <v>250000</v>
      </c>
      <c r="AB152" s="19" t="n">
        <v>2041400</v>
      </c>
      <c r="AC152" s="85" t="n">
        <v>42822</v>
      </c>
      <c r="AD152" s="85" t="n">
        <v>43830</v>
      </c>
      <c r="AE152" s="19" t="n">
        <v>1</v>
      </c>
      <c r="AF152" s="19" t="n">
        <v>204140</v>
      </c>
      <c r="AG152" s="85" t="n">
        <v>46013</v>
      </c>
      <c r="AH152" s="19" t="n">
        <v>2041400</v>
      </c>
      <c r="AI152" s="19" t="n">
        <v>0</v>
      </c>
      <c r="AK152" s="85" t="n">
        <v>42820</v>
      </c>
      <c r="AL152" s="85" t="n">
        <v>43712</v>
      </c>
      <c r="AM152" s="19" t="n">
        <v>0.9213</v>
      </c>
      <c r="AR152" s="19" t="s">
        <v>311</v>
      </c>
      <c r="AS152" s="19" t="s">
        <v>364</v>
      </c>
      <c r="AT152" s="19" t="s">
        <v>313</v>
      </c>
      <c r="AU152" s="19" t="s">
        <v>997</v>
      </c>
      <c r="AV152" s="19" t="n">
        <v>6</v>
      </c>
      <c r="AX152" s="19" t="n">
        <v>6</v>
      </c>
      <c r="AY152" s="19" t="n">
        <v>2025</v>
      </c>
    </row>
    <row r="153" customFormat="false" ht="12.8" hidden="false" customHeight="false" outlineLevel="0" collapsed="false">
      <c r="A153" s="19" t="s">
        <v>29</v>
      </c>
      <c r="B153" s="19" t="s">
        <v>4</v>
      </c>
      <c r="C153" s="19" t="s">
        <v>30</v>
      </c>
      <c r="D153" s="19" t="s">
        <v>97</v>
      </c>
      <c r="E153" s="19" t="s">
        <v>79</v>
      </c>
      <c r="G153" s="19" t="s">
        <v>80</v>
      </c>
      <c r="H153" s="19" t="s">
        <v>47</v>
      </c>
      <c r="I153" s="19" t="s">
        <v>229</v>
      </c>
      <c r="J153" s="19" t="s">
        <v>998</v>
      </c>
      <c r="K153" s="19" t="s">
        <v>461</v>
      </c>
      <c r="L153" s="19" t="s">
        <v>366</v>
      </c>
      <c r="M153" s="19" t="n">
        <v>2017</v>
      </c>
      <c r="N153" s="19" t="n">
        <v>50</v>
      </c>
      <c r="O153" s="19" t="n">
        <v>50</v>
      </c>
      <c r="P153" s="19" t="n">
        <v>83300</v>
      </c>
      <c r="Q153" s="19" t="n">
        <v>83300</v>
      </c>
      <c r="R153" s="19" t="s">
        <v>52</v>
      </c>
      <c r="S153" s="19" t="s">
        <v>53</v>
      </c>
      <c r="T153" s="19" t="s">
        <v>216</v>
      </c>
      <c r="U153" s="19" t="n">
        <v>2041400</v>
      </c>
      <c r="V153" s="19" t="n">
        <v>625000</v>
      </c>
      <c r="W153" s="19" t="n">
        <v>325000</v>
      </c>
      <c r="X153" s="19" t="s">
        <v>447</v>
      </c>
      <c r="Y153" s="19" t="n">
        <v>500000</v>
      </c>
      <c r="Z153" s="19" t="n">
        <v>150000</v>
      </c>
      <c r="AA153" s="19" t="n">
        <v>250000</v>
      </c>
      <c r="AB153" s="19" t="n">
        <v>2041400</v>
      </c>
      <c r="AC153" s="85" t="n">
        <v>42822</v>
      </c>
      <c r="AD153" s="85" t="n">
        <v>43830</v>
      </c>
      <c r="AE153" s="19" t="n">
        <v>1</v>
      </c>
      <c r="AG153" s="85" t="n">
        <v>44382</v>
      </c>
      <c r="AH153" s="19" t="n">
        <v>0</v>
      </c>
      <c r="AI153" s="19" t="n">
        <v>2041400</v>
      </c>
      <c r="AK153" s="85" t="n">
        <v>42825</v>
      </c>
      <c r="AL153" s="85" t="n">
        <v>43740</v>
      </c>
      <c r="AM153" s="19" t="n">
        <v>0.8957</v>
      </c>
      <c r="AR153" s="19" t="s">
        <v>117</v>
      </c>
      <c r="AS153" s="19" t="s">
        <v>117</v>
      </c>
      <c r="AT153" s="19" t="s">
        <v>313</v>
      </c>
      <c r="AU153" s="19" t="s">
        <v>999</v>
      </c>
      <c r="AV153" s="19" t="n">
        <v>6</v>
      </c>
      <c r="AX153" s="19" t="n">
        <v>6</v>
      </c>
      <c r="AY153" s="19" t="n">
        <v>2025</v>
      </c>
    </row>
    <row r="154" customFormat="false" ht="12.8" hidden="false" customHeight="false" outlineLevel="0" collapsed="false">
      <c r="A154" s="19" t="s">
        <v>29</v>
      </c>
      <c r="B154" s="19" t="s">
        <v>4</v>
      </c>
      <c r="C154" s="19" t="s">
        <v>30</v>
      </c>
      <c r="D154" s="19" t="s">
        <v>72</v>
      </c>
      <c r="E154" s="19" t="s">
        <v>73</v>
      </c>
      <c r="G154" s="19" t="s">
        <v>33</v>
      </c>
      <c r="H154" s="19" t="s">
        <v>47</v>
      </c>
      <c r="I154" s="19" t="s">
        <v>230</v>
      </c>
      <c r="J154" s="19" t="s">
        <v>75</v>
      </c>
      <c r="K154" s="19" t="s">
        <v>76</v>
      </c>
      <c r="L154" s="19" t="s">
        <v>367</v>
      </c>
      <c r="M154" s="19" t="n">
        <v>2017</v>
      </c>
      <c r="N154" s="19" t="n">
        <v>50</v>
      </c>
      <c r="O154" s="19" t="n">
        <v>50</v>
      </c>
      <c r="P154" s="19" t="n">
        <v>83300</v>
      </c>
      <c r="Q154" s="19" t="n">
        <v>83300</v>
      </c>
      <c r="R154" s="19" t="s">
        <v>39</v>
      </c>
      <c r="S154" s="19" t="s">
        <v>231</v>
      </c>
      <c r="T154" s="19" t="s">
        <v>231</v>
      </c>
      <c r="U154" s="19" t="n">
        <v>2024500</v>
      </c>
      <c r="V154" s="19" t="n">
        <v>1249500</v>
      </c>
      <c r="W154" s="19" t="n">
        <v>325000</v>
      </c>
      <c r="X154" s="19" t="s">
        <v>447</v>
      </c>
      <c r="Y154" s="19" t="n">
        <v>500000</v>
      </c>
      <c r="Z154" s="19" t="n">
        <v>150000</v>
      </c>
      <c r="AA154" s="19" t="n">
        <v>250000</v>
      </c>
      <c r="AB154" s="19" t="n">
        <v>2024500</v>
      </c>
      <c r="AC154" s="85" t="n">
        <v>42835</v>
      </c>
      <c r="AD154" s="85" t="n">
        <v>43830</v>
      </c>
      <c r="AE154" s="19" t="n">
        <v>1</v>
      </c>
      <c r="AG154" s="85" t="n">
        <v>44382</v>
      </c>
      <c r="AH154" s="19" t="n">
        <v>0</v>
      </c>
      <c r="AI154" s="19" t="n">
        <v>2024500</v>
      </c>
      <c r="AK154" s="85" t="n">
        <v>42823</v>
      </c>
      <c r="AL154" s="85" t="n">
        <v>43755</v>
      </c>
      <c r="AM154" s="19" t="n">
        <v>0.8689</v>
      </c>
      <c r="AN154" s="19" t="s">
        <v>368</v>
      </c>
      <c r="AO154" s="19" t="s">
        <v>1000</v>
      </c>
      <c r="AQ154" s="85" t="n">
        <v>44558</v>
      </c>
      <c r="AR154" s="19" t="s">
        <v>325</v>
      </c>
      <c r="AS154" s="19" t="s">
        <v>370</v>
      </c>
      <c r="AT154" s="19" t="s">
        <v>313</v>
      </c>
      <c r="AU154" s="19" t="s">
        <v>1001</v>
      </c>
      <c r="AV154" s="19" t="n">
        <v>6</v>
      </c>
      <c r="AX154" s="19" t="n">
        <v>6</v>
      </c>
      <c r="AY154" s="19" t="n">
        <v>2025</v>
      </c>
    </row>
    <row r="155" customFormat="false" ht="12.8" hidden="false" customHeight="false" outlineLevel="0" collapsed="false">
      <c r="A155" s="19" t="s">
        <v>29</v>
      </c>
      <c r="B155" s="19" t="s">
        <v>4</v>
      </c>
      <c r="C155" s="19" t="s">
        <v>30</v>
      </c>
      <c r="D155" s="19" t="s">
        <v>232</v>
      </c>
      <c r="E155" s="19" t="s">
        <v>32</v>
      </c>
      <c r="G155" s="19" t="s">
        <v>33</v>
      </c>
      <c r="H155" s="19" t="s">
        <v>47</v>
      </c>
      <c r="I155" s="19" t="s">
        <v>233</v>
      </c>
      <c r="J155" s="19" t="s">
        <v>234</v>
      </c>
      <c r="K155" s="19" t="s">
        <v>371</v>
      </c>
      <c r="L155" s="19" t="s">
        <v>372</v>
      </c>
      <c r="M155" s="19" t="n">
        <v>2017</v>
      </c>
      <c r="N155" s="19" t="n">
        <v>40</v>
      </c>
      <c r="O155" s="19" t="n">
        <v>40</v>
      </c>
      <c r="P155" s="19" t="n">
        <v>20000</v>
      </c>
      <c r="Q155" s="19" t="n">
        <v>20000</v>
      </c>
      <c r="R155" s="19" t="s">
        <v>39</v>
      </c>
      <c r="S155" s="19" t="s">
        <v>235</v>
      </c>
      <c r="T155" s="19" t="s">
        <v>236</v>
      </c>
      <c r="U155" s="19" t="n">
        <v>1513120</v>
      </c>
      <c r="V155" s="19" t="n">
        <v>533120</v>
      </c>
      <c r="W155" s="19" t="n">
        <v>260000</v>
      </c>
      <c r="X155" s="19" t="s">
        <v>447</v>
      </c>
      <c r="Y155" s="19" t="n">
        <v>400000</v>
      </c>
      <c r="Z155" s="19" t="n">
        <v>120000</v>
      </c>
      <c r="AA155" s="19" t="n">
        <v>200000</v>
      </c>
      <c r="AE155" s="19" t="n">
        <v>1</v>
      </c>
      <c r="AM155" s="19" t="n">
        <v>0.8698</v>
      </c>
      <c r="AT155" s="19" t="s">
        <v>373</v>
      </c>
      <c r="AU155" s="19" t="s">
        <v>1002</v>
      </c>
      <c r="AV155" s="19" t="n">
        <v>5</v>
      </c>
      <c r="AX155" s="19" t="n">
        <v>5</v>
      </c>
      <c r="AY155" s="19" t="n">
        <v>2025</v>
      </c>
    </row>
    <row r="156" customFormat="false" ht="12.8" hidden="false" customHeight="false" outlineLevel="0" collapsed="false">
      <c r="A156" s="19" t="s">
        <v>29</v>
      </c>
      <c r="B156" s="19" t="s">
        <v>4</v>
      </c>
      <c r="C156" s="19" t="s">
        <v>30</v>
      </c>
      <c r="D156" s="19" t="s">
        <v>151</v>
      </c>
      <c r="E156" s="19" t="s">
        <v>32</v>
      </c>
      <c r="G156" s="19" t="s">
        <v>33</v>
      </c>
      <c r="H156" s="19" t="s">
        <v>34</v>
      </c>
      <c r="I156" s="19" t="s">
        <v>237</v>
      </c>
      <c r="J156" s="19" t="s">
        <v>828</v>
      </c>
      <c r="K156" s="19" t="s">
        <v>318</v>
      </c>
      <c r="L156" s="19" t="s">
        <v>374</v>
      </c>
      <c r="M156" s="19" t="n">
        <v>2018</v>
      </c>
      <c r="N156" s="19" t="n">
        <v>60</v>
      </c>
      <c r="O156" s="19" t="n">
        <v>60</v>
      </c>
      <c r="P156" s="19" t="n">
        <v>70500</v>
      </c>
      <c r="Q156" s="19" t="n">
        <v>70500</v>
      </c>
      <c r="R156" s="19" t="s">
        <v>39</v>
      </c>
      <c r="S156" s="19" t="s">
        <v>40</v>
      </c>
      <c r="T156" s="19" t="s">
        <v>154</v>
      </c>
      <c r="U156" s="19" t="n">
        <v>1614000</v>
      </c>
      <c r="V156" s="19" t="n">
        <v>564000</v>
      </c>
      <c r="W156" s="19" t="n">
        <v>390000</v>
      </c>
      <c r="X156" s="19" t="s">
        <v>447</v>
      </c>
      <c r="Y156" s="19" t="n">
        <v>1014000</v>
      </c>
      <c r="Z156" s="19" t="n">
        <v>300000</v>
      </c>
      <c r="AA156" s="19" t="n">
        <v>300000</v>
      </c>
      <c r="AB156" s="19" t="n">
        <v>1614000</v>
      </c>
      <c r="AC156" s="85" t="n">
        <v>43159</v>
      </c>
      <c r="AD156" s="85" t="n">
        <v>44196</v>
      </c>
      <c r="AE156" s="19" t="n">
        <v>1</v>
      </c>
      <c r="AF156" s="19" t="n">
        <v>161400</v>
      </c>
      <c r="AG156" s="85" t="n">
        <v>45849</v>
      </c>
      <c r="AH156" s="19" t="n">
        <v>1614000</v>
      </c>
      <c r="AI156" s="19" t="n">
        <v>0</v>
      </c>
      <c r="AJ156" s="19" t="s">
        <v>375</v>
      </c>
      <c r="AK156" s="85" t="n">
        <v>43154</v>
      </c>
      <c r="AL156" s="85" t="n">
        <v>44153</v>
      </c>
      <c r="AM156" s="19" t="n">
        <v>0.93</v>
      </c>
      <c r="AR156" s="19" t="s">
        <v>117</v>
      </c>
      <c r="AS156" s="19" t="s">
        <v>117</v>
      </c>
      <c r="AT156" s="19" t="s">
        <v>313</v>
      </c>
      <c r="AV156" s="19" t="n">
        <v>7</v>
      </c>
      <c r="AX156" s="19" t="n">
        <v>7</v>
      </c>
      <c r="AY156" s="19" t="n">
        <v>2025</v>
      </c>
    </row>
    <row r="157" customFormat="false" ht="12.8" hidden="false" customHeight="false" outlineLevel="0" collapsed="false">
      <c r="A157" s="19" t="s">
        <v>29</v>
      </c>
      <c r="B157" s="19" t="s">
        <v>4</v>
      </c>
      <c r="C157" s="19" t="s">
        <v>30</v>
      </c>
      <c r="D157" s="19" t="s">
        <v>238</v>
      </c>
      <c r="E157" s="19" t="s">
        <v>67</v>
      </c>
      <c r="G157" s="19" t="s">
        <v>33</v>
      </c>
      <c r="H157" s="19" t="s">
        <v>34</v>
      </c>
      <c r="I157" s="19" t="s">
        <v>239</v>
      </c>
      <c r="J157" s="19" t="s">
        <v>683</v>
      </c>
      <c r="K157" s="19" t="s">
        <v>684</v>
      </c>
      <c r="L157" s="19" t="s">
        <v>377</v>
      </c>
      <c r="M157" s="19" t="n">
        <v>2018</v>
      </c>
      <c r="N157" s="19" t="n">
        <v>60</v>
      </c>
      <c r="O157" s="19" t="n">
        <v>60</v>
      </c>
      <c r="P157" s="19" t="n">
        <v>70500</v>
      </c>
      <c r="Q157" s="19" t="n">
        <v>70500</v>
      </c>
      <c r="R157" s="19" t="s">
        <v>39</v>
      </c>
      <c r="S157" s="19" t="s">
        <v>40</v>
      </c>
      <c r="T157" s="19" t="s">
        <v>154</v>
      </c>
      <c r="U157" s="19" t="n">
        <v>1614000</v>
      </c>
      <c r="V157" s="19" t="n">
        <v>564000</v>
      </c>
      <c r="W157" s="19" t="n">
        <v>390000</v>
      </c>
      <c r="X157" s="19" t="s">
        <v>447</v>
      </c>
      <c r="Y157" s="19" t="n">
        <v>1014000</v>
      </c>
      <c r="Z157" s="19" t="n">
        <v>300000</v>
      </c>
      <c r="AA157" s="19" t="n">
        <v>300000</v>
      </c>
      <c r="AB157" s="19" t="n">
        <v>1614000</v>
      </c>
      <c r="AC157" s="85" t="n">
        <v>43154</v>
      </c>
      <c r="AD157" s="85" t="n">
        <v>44196</v>
      </c>
      <c r="AE157" s="19" t="n">
        <v>1</v>
      </c>
      <c r="AF157" s="19" t="n">
        <v>161400</v>
      </c>
      <c r="AG157" s="85" t="n">
        <v>45848</v>
      </c>
      <c r="AH157" s="19" t="n">
        <v>1614000</v>
      </c>
      <c r="AI157" s="19" t="n">
        <v>0</v>
      </c>
      <c r="AJ157" s="19" t="s">
        <v>375</v>
      </c>
      <c r="AL157" s="85" t="n">
        <v>44159</v>
      </c>
      <c r="AM157" s="19" t="n">
        <v>0.87</v>
      </c>
      <c r="AN157" s="19" t="s">
        <v>1003</v>
      </c>
      <c r="AO157" s="19" t="s">
        <v>378</v>
      </c>
      <c r="AR157" s="19" t="s">
        <v>117</v>
      </c>
      <c r="AS157" s="19" t="s">
        <v>117</v>
      </c>
      <c r="AT157" s="19" t="s">
        <v>313</v>
      </c>
      <c r="AV157" s="19" t="n">
        <v>7</v>
      </c>
      <c r="AX157" s="19" t="n">
        <v>7</v>
      </c>
      <c r="AY157" s="19" t="n">
        <v>2025</v>
      </c>
    </row>
    <row r="158" customFormat="false" ht="12.8" hidden="false" customHeight="false" outlineLevel="0" collapsed="false">
      <c r="A158" s="19" t="s">
        <v>29</v>
      </c>
      <c r="B158" s="19" t="s">
        <v>4</v>
      </c>
      <c r="C158" s="19" t="s">
        <v>30</v>
      </c>
      <c r="D158" s="19" t="s">
        <v>97</v>
      </c>
      <c r="E158" s="19" t="s">
        <v>79</v>
      </c>
      <c r="G158" s="19" t="s">
        <v>33</v>
      </c>
      <c r="H158" s="19" t="s">
        <v>47</v>
      </c>
      <c r="I158" s="19" t="s">
        <v>241</v>
      </c>
      <c r="J158" s="19" t="s">
        <v>998</v>
      </c>
      <c r="K158" s="19" t="s">
        <v>765</v>
      </c>
      <c r="L158" s="19" t="s">
        <v>380</v>
      </c>
      <c r="M158" s="19" t="n">
        <v>2018</v>
      </c>
      <c r="N158" s="19" t="n">
        <v>60</v>
      </c>
      <c r="O158" s="19" t="n">
        <v>60</v>
      </c>
      <c r="P158" s="19" t="n">
        <v>70500</v>
      </c>
      <c r="Q158" s="19" t="n">
        <v>70500</v>
      </c>
      <c r="R158" s="19" t="s">
        <v>39</v>
      </c>
      <c r="S158" s="19" t="s">
        <v>40</v>
      </c>
      <c r="T158" s="19" t="s">
        <v>242</v>
      </c>
      <c r="U158" s="19" t="n">
        <v>1614000</v>
      </c>
      <c r="V158" s="19" t="n">
        <v>564000</v>
      </c>
      <c r="W158" s="19" t="n">
        <v>390000</v>
      </c>
      <c r="X158" s="19" t="s">
        <v>447</v>
      </c>
      <c r="Y158" s="19" t="n">
        <v>1014000</v>
      </c>
      <c r="Z158" s="19" t="n">
        <v>300000</v>
      </c>
      <c r="AA158" s="19" t="n">
        <v>300000</v>
      </c>
      <c r="AB158" s="19" t="n">
        <v>1614000</v>
      </c>
      <c r="AC158" s="85" t="n">
        <v>43154</v>
      </c>
      <c r="AD158" s="85" t="n">
        <v>44196</v>
      </c>
      <c r="AE158" s="19" t="n">
        <v>1</v>
      </c>
      <c r="AF158" s="19" t="n">
        <v>161400</v>
      </c>
      <c r="AG158" s="85" t="n">
        <v>45849</v>
      </c>
      <c r="AH158" s="19" t="n">
        <v>1614000</v>
      </c>
      <c r="AI158" s="19" t="n">
        <v>0</v>
      </c>
      <c r="AJ158" s="19" t="s">
        <v>375</v>
      </c>
      <c r="AK158" s="85" t="n">
        <v>43298</v>
      </c>
      <c r="AL158" s="85" t="n">
        <v>44152</v>
      </c>
      <c r="AM158" s="19" t="n">
        <v>0.9025</v>
      </c>
      <c r="AR158" s="19" t="s">
        <v>117</v>
      </c>
      <c r="AS158" s="19" t="s">
        <v>117</v>
      </c>
      <c r="AT158" s="19" t="s">
        <v>313</v>
      </c>
      <c r="AV158" s="19" t="n">
        <v>7</v>
      </c>
      <c r="AX158" s="19" t="n">
        <v>7</v>
      </c>
      <c r="AY158" s="19" t="n">
        <v>2025</v>
      </c>
    </row>
    <row r="159" customFormat="false" ht="12.8" hidden="false" customHeight="false" outlineLevel="0" collapsed="false">
      <c r="A159" s="19" t="s">
        <v>29</v>
      </c>
      <c r="B159" s="19" t="s">
        <v>4</v>
      </c>
      <c r="C159" s="19" t="s">
        <v>30</v>
      </c>
      <c r="D159" s="19" t="s">
        <v>61</v>
      </c>
      <c r="E159" s="19" t="s">
        <v>32</v>
      </c>
      <c r="G159" s="19" t="s">
        <v>33</v>
      </c>
      <c r="H159" s="19" t="s">
        <v>47</v>
      </c>
      <c r="I159" s="19" t="s">
        <v>243</v>
      </c>
      <c r="J159" s="19" t="s">
        <v>63</v>
      </c>
      <c r="K159" s="19" t="s">
        <v>64</v>
      </c>
      <c r="L159" s="19" t="s">
        <v>381</v>
      </c>
      <c r="M159" s="19" t="n">
        <v>2018</v>
      </c>
      <c r="N159" s="19" t="n">
        <v>50</v>
      </c>
      <c r="O159" s="19" t="n">
        <v>50</v>
      </c>
      <c r="P159" s="19" t="n">
        <v>50000</v>
      </c>
      <c r="Q159" s="19" t="n">
        <v>50000</v>
      </c>
      <c r="R159" s="19" t="s">
        <v>52</v>
      </c>
      <c r="S159" s="19" t="s">
        <v>53</v>
      </c>
      <c r="T159" s="19" t="s">
        <v>244</v>
      </c>
      <c r="U159" s="19" t="n">
        <v>1820050</v>
      </c>
      <c r="V159" s="19" t="n">
        <v>825000</v>
      </c>
      <c r="W159" s="19" t="n">
        <v>445050</v>
      </c>
      <c r="X159" s="19" t="s">
        <v>447</v>
      </c>
      <c r="Y159" s="19" t="n">
        <v>1320050</v>
      </c>
      <c r="Z159" s="19" t="n">
        <v>250000</v>
      </c>
      <c r="AA159" s="19" t="n">
        <v>250000</v>
      </c>
      <c r="AB159" s="19" t="n">
        <v>1820050</v>
      </c>
      <c r="AC159" s="85" t="n">
        <v>43154</v>
      </c>
      <c r="AD159" s="85" t="n">
        <v>44196</v>
      </c>
      <c r="AE159" s="19" t="n">
        <v>1</v>
      </c>
      <c r="AF159" s="19" t="n">
        <v>182005</v>
      </c>
      <c r="AG159" s="85" t="n">
        <v>45848</v>
      </c>
      <c r="AH159" s="19" t="n">
        <v>1820050</v>
      </c>
      <c r="AI159" s="19" t="n">
        <v>0</v>
      </c>
      <c r="AJ159" s="19" t="s">
        <v>375</v>
      </c>
      <c r="AK159" s="85" t="n">
        <v>43154</v>
      </c>
      <c r="AL159" s="85" t="n">
        <v>44134</v>
      </c>
      <c r="AM159" s="19" t="n">
        <v>0.8716</v>
      </c>
      <c r="AR159" s="19" t="s">
        <v>117</v>
      </c>
      <c r="AS159" s="19" t="s">
        <v>117</v>
      </c>
      <c r="AT159" s="19" t="s">
        <v>313</v>
      </c>
      <c r="AV159" s="19" t="n">
        <v>6</v>
      </c>
      <c r="AX159" s="19" t="n">
        <v>6</v>
      </c>
      <c r="AY159" s="19" t="n">
        <v>2025</v>
      </c>
    </row>
    <row r="160" customFormat="false" ht="12.8" hidden="false" customHeight="false" outlineLevel="0" collapsed="false">
      <c r="A160" s="19" t="s">
        <v>29</v>
      </c>
      <c r="B160" s="19" t="s">
        <v>4</v>
      </c>
      <c r="C160" s="19" t="s">
        <v>30</v>
      </c>
      <c r="D160" s="19" t="s">
        <v>151</v>
      </c>
      <c r="E160" s="19" t="s">
        <v>32</v>
      </c>
      <c r="G160" s="19" t="s">
        <v>33</v>
      </c>
      <c r="H160" s="19" t="s">
        <v>34</v>
      </c>
      <c r="I160" s="19" t="s">
        <v>245</v>
      </c>
      <c r="J160" s="19" t="s">
        <v>171</v>
      </c>
      <c r="K160" s="19" t="s">
        <v>320</v>
      </c>
      <c r="L160" s="19" t="s">
        <v>382</v>
      </c>
      <c r="M160" s="19" t="n">
        <v>2018</v>
      </c>
      <c r="N160" s="19" t="n">
        <v>50</v>
      </c>
      <c r="O160" s="19" t="n">
        <v>50</v>
      </c>
      <c r="P160" s="19" t="n">
        <v>50000</v>
      </c>
      <c r="Q160" s="19" t="n">
        <v>50000</v>
      </c>
      <c r="R160" s="19" t="s">
        <v>52</v>
      </c>
      <c r="S160" s="19" t="s">
        <v>246</v>
      </c>
      <c r="T160" s="19" t="s">
        <v>247</v>
      </c>
      <c r="U160" s="19" t="n">
        <v>1820050</v>
      </c>
      <c r="V160" s="19" t="n">
        <v>825000</v>
      </c>
      <c r="W160" s="19" t="n">
        <v>445050</v>
      </c>
      <c r="X160" s="19" t="s">
        <v>447</v>
      </c>
      <c r="Y160" s="19" t="n">
        <v>1320050</v>
      </c>
      <c r="Z160" s="19" t="n">
        <v>250000</v>
      </c>
      <c r="AA160" s="19" t="n">
        <v>250000</v>
      </c>
      <c r="AB160" s="19" t="n">
        <v>1820050</v>
      </c>
      <c r="AC160" s="85" t="n">
        <v>43154</v>
      </c>
      <c r="AD160" s="85" t="n">
        <v>44196</v>
      </c>
      <c r="AE160" s="19" t="n">
        <v>1</v>
      </c>
      <c r="AF160" s="19" t="n">
        <v>182005</v>
      </c>
      <c r="AG160" s="85" t="n">
        <v>45849</v>
      </c>
      <c r="AH160" s="19" t="n">
        <v>1820050</v>
      </c>
      <c r="AI160" s="19" t="n">
        <v>0</v>
      </c>
      <c r="AJ160" s="19" t="s">
        <v>375</v>
      </c>
      <c r="AL160" s="85" t="n">
        <v>44133</v>
      </c>
      <c r="AM160" s="19" t="n">
        <v>0.8698</v>
      </c>
      <c r="AR160" s="19" t="s">
        <v>117</v>
      </c>
      <c r="AS160" s="19" t="s">
        <v>117</v>
      </c>
      <c r="AT160" s="19" t="s">
        <v>313</v>
      </c>
      <c r="AV160" s="19" t="n">
        <v>6</v>
      </c>
      <c r="AX160" s="19" t="n">
        <v>6</v>
      </c>
      <c r="AY160" s="19" t="n">
        <v>2025</v>
      </c>
    </row>
    <row r="161" customFormat="false" ht="12.8" hidden="false" customHeight="false" outlineLevel="0" collapsed="false">
      <c r="A161" s="19" t="s">
        <v>29</v>
      </c>
      <c r="B161" s="19" t="s">
        <v>4</v>
      </c>
      <c r="C161" s="19" t="s">
        <v>30</v>
      </c>
      <c r="D161" s="19" t="s">
        <v>151</v>
      </c>
      <c r="E161" s="19" t="s">
        <v>32</v>
      </c>
      <c r="G161" s="19" t="s">
        <v>33</v>
      </c>
      <c r="H161" s="19" t="s">
        <v>47</v>
      </c>
      <c r="I161" s="19" t="s">
        <v>248</v>
      </c>
      <c r="J161" s="19" t="s">
        <v>234</v>
      </c>
      <c r="K161" s="19" t="s">
        <v>383</v>
      </c>
      <c r="L161" s="19" t="s">
        <v>384</v>
      </c>
      <c r="M161" s="19" t="n">
        <v>2018</v>
      </c>
      <c r="N161" s="19" t="n">
        <v>50</v>
      </c>
      <c r="O161" s="19" t="n">
        <v>50</v>
      </c>
      <c r="P161" s="19" t="n">
        <v>50000</v>
      </c>
      <c r="Q161" s="19" t="n">
        <v>50000</v>
      </c>
      <c r="R161" s="19" t="s">
        <v>52</v>
      </c>
      <c r="S161" s="19" t="s">
        <v>53</v>
      </c>
      <c r="T161" s="19" t="s">
        <v>249</v>
      </c>
      <c r="U161" s="19" t="n">
        <v>1820050</v>
      </c>
      <c r="V161" s="19" t="n">
        <v>825000</v>
      </c>
      <c r="W161" s="19" t="n">
        <v>445050</v>
      </c>
      <c r="X161" s="19" t="s">
        <v>447</v>
      </c>
      <c r="Y161" s="19" t="n">
        <v>445050</v>
      </c>
      <c r="Z161" s="19" t="n">
        <v>250000</v>
      </c>
      <c r="AA161" s="19" t="n">
        <v>250000</v>
      </c>
      <c r="AB161" s="19" t="n">
        <v>1820050</v>
      </c>
      <c r="AC161" s="85" t="n">
        <v>43154</v>
      </c>
      <c r="AD161" s="85" t="n">
        <v>44196</v>
      </c>
      <c r="AE161" s="19" t="n">
        <v>1</v>
      </c>
      <c r="AF161" s="19" t="n">
        <v>182005</v>
      </c>
      <c r="AG161" s="85" t="n">
        <v>45849</v>
      </c>
      <c r="AH161" s="19" t="n">
        <v>1820050</v>
      </c>
      <c r="AI161" s="19" t="n">
        <v>0</v>
      </c>
      <c r="AJ161" s="19" t="s">
        <v>375</v>
      </c>
      <c r="AK161" s="85" t="n">
        <v>43154</v>
      </c>
      <c r="AL161" s="85" t="n">
        <v>44145</v>
      </c>
      <c r="AM161" s="19" t="n">
        <v>0.8805</v>
      </c>
      <c r="AR161" s="19" t="s">
        <v>117</v>
      </c>
      <c r="AS161" s="19" t="s">
        <v>117</v>
      </c>
      <c r="AT161" s="19" t="s">
        <v>313</v>
      </c>
      <c r="AV161" s="19" t="n">
        <v>6</v>
      </c>
      <c r="AX161" s="19" t="n">
        <v>6</v>
      </c>
      <c r="AY161" s="19" t="n">
        <v>2025</v>
      </c>
    </row>
    <row r="162" customFormat="false" ht="12.8" hidden="false" customHeight="false" outlineLevel="0" collapsed="false">
      <c r="A162" s="19" t="s">
        <v>29</v>
      </c>
      <c r="B162" s="19" t="s">
        <v>4</v>
      </c>
      <c r="C162" s="19" t="s">
        <v>30</v>
      </c>
      <c r="D162" s="19" t="s">
        <v>55</v>
      </c>
      <c r="E162" s="19" t="s">
        <v>32</v>
      </c>
      <c r="G162" s="19" t="s">
        <v>33</v>
      </c>
      <c r="H162" s="19" t="s">
        <v>34</v>
      </c>
      <c r="I162" s="19" t="s">
        <v>250</v>
      </c>
      <c r="J162" s="19" t="s">
        <v>796</v>
      </c>
      <c r="K162" s="19" t="s">
        <v>337</v>
      </c>
      <c r="L162" s="19" t="s">
        <v>385</v>
      </c>
      <c r="M162" s="19" t="n">
        <v>2018</v>
      </c>
      <c r="N162" s="19" t="n">
        <v>60</v>
      </c>
      <c r="O162" s="19" t="n">
        <v>60</v>
      </c>
      <c r="P162" s="19" t="n">
        <v>70500</v>
      </c>
      <c r="Q162" s="19" t="n">
        <v>70500</v>
      </c>
      <c r="R162" s="19" t="s">
        <v>39</v>
      </c>
      <c r="S162" s="19" t="s">
        <v>40</v>
      </c>
      <c r="T162" s="19" t="s">
        <v>251</v>
      </c>
      <c r="U162" s="19" t="n">
        <v>1614000</v>
      </c>
      <c r="V162" s="19" t="n">
        <v>564000</v>
      </c>
      <c r="W162" s="19" t="n">
        <v>390000</v>
      </c>
      <c r="X162" s="19" t="s">
        <v>447</v>
      </c>
      <c r="Y162" s="19" t="n">
        <v>534060</v>
      </c>
      <c r="Z162" s="19" t="n">
        <v>300000</v>
      </c>
      <c r="AA162" s="19" t="n">
        <v>300000</v>
      </c>
      <c r="AB162" s="19" t="n">
        <v>1614000</v>
      </c>
      <c r="AC162" s="85" t="n">
        <v>43154</v>
      </c>
      <c r="AD162" s="85" t="n">
        <v>44196</v>
      </c>
      <c r="AE162" s="19" t="n">
        <v>1</v>
      </c>
      <c r="AF162" s="19" t="n">
        <v>161400</v>
      </c>
      <c r="AG162" s="85" t="n">
        <v>46013</v>
      </c>
      <c r="AH162" s="19" t="n">
        <v>1614000</v>
      </c>
      <c r="AI162" s="19" t="n">
        <v>0</v>
      </c>
      <c r="AJ162" s="19" t="s">
        <v>375</v>
      </c>
      <c r="AK162" s="85" t="n">
        <v>43154</v>
      </c>
      <c r="AL162" s="85" t="n">
        <v>44141</v>
      </c>
      <c r="AM162" s="19" t="n">
        <v>0.8761</v>
      </c>
      <c r="AR162" s="19" t="s">
        <v>117</v>
      </c>
      <c r="AS162" s="19" t="s">
        <v>117</v>
      </c>
      <c r="AT162" s="19" t="s">
        <v>313</v>
      </c>
      <c r="AV162" s="19" t="n">
        <v>7</v>
      </c>
      <c r="AX162" s="19" t="n">
        <v>7</v>
      </c>
      <c r="AY162" s="19" t="n">
        <v>2025</v>
      </c>
    </row>
    <row r="163" customFormat="false" ht="12.8" hidden="false" customHeight="false" outlineLevel="0" collapsed="false">
      <c r="A163" s="19" t="s">
        <v>29</v>
      </c>
      <c r="B163" s="19" t="s">
        <v>4</v>
      </c>
      <c r="C163" s="19" t="s">
        <v>30</v>
      </c>
      <c r="D163" s="19" t="s">
        <v>55</v>
      </c>
      <c r="E163" s="19" t="s">
        <v>32</v>
      </c>
      <c r="G163" s="19" t="s">
        <v>33</v>
      </c>
      <c r="H163" s="19" t="s">
        <v>34</v>
      </c>
      <c r="I163" s="19" t="s">
        <v>252</v>
      </c>
      <c r="J163" s="19" t="s">
        <v>57</v>
      </c>
      <c r="K163" s="19" t="s">
        <v>58</v>
      </c>
      <c r="L163" s="19" t="s">
        <v>386</v>
      </c>
      <c r="M163" s="19" t="n">
        <v>2018</v>
      </c>
      <c r="N163" s="19" t="n">
        <v>60</v>
      </c>
      <c r="O163" s="19" t="n">
        <v>60</v>
      </c>
      <c r="P163" s="19" t="n">
        <v>70500</v>
      </c>
      <c r="Q163" s="19" t="n">
        <v>70500</v>
      </c>
      <c r="R163" s="19" t="s">
        <v>39</v>
      </c>
      <c r="S163" s="19" t="s">
        <v>40</v>
      </c>
      <c r="T163" s="19" t="s">
        <v>253</v>
      </c>
      <c r="U163" s="19" t="n">
        <v>1614000</v>
      </c>
      <c r="V163" s="19" t="n">
        <v>564000</v>
      </c>
      <c r="W163" s="19" t="n">
        <v>390000</v>
      </c>
      <c r="X163" s="19" t="s">
        <v>447</v>
      </c>
      <c r="Y163" s="19" t="n">
        <v>534060</v>
      </c>
      <c r="Z163" s="19" t="n">
        <v>300000</v>
      </c>
      <c r="AA163" s="19" t="n">
        <v>300000</v>
      </c>
      <c r="AB163" s="19" t="n">
        <v>1614000</v>
      </c>
      <c r="AC163" s="85" t="n">
        <v>43154</v>
      </c>
      <c r="AD163" s="85" t="n">
        <v>44196</v>
      </c>
      <c r="AE163" s="19" t="n">
        <v>1</v>
      </c>
      <c r="AF163" s="19" t="n">
        <v>161400</v>
      </c>
      <c r="AG163" s="85" t="n">
        <v>45848</v>
      </c>
      <c r="AH163" s="19" t="n">
        <v>1614000</v>
      </c>
      <c r="AI163" s="19" t="n">
        <v>0</v>
      </c>
      <c r="AJ163" s="19" t="s">
        <v>375</v>
      </c>
      <c r="AL163" s="85" t="n">
        <v>44139</v>
      </c>
      <c r="AM163" s="19" t="n">
        <v>0.8918</v>
      </c>
      <c r="AN163" s="19" t="s">
        <v>1004</v>
      </c>
      <c r="AO163" s="19" t="s">
        <v>387</v>
      </c>
      <c r="AR163" s="19" t="s">
        <v>117</v>
      </c>
      <c r="AS163" s="19" t="s">
        <v>117</v>
      </c>
      <c r="AT163" s="19" t="s">
        <v>313</v>
      </c>
      <c r="AV163" s="19" t="n">
        <v>7</v>
      </c>
      <c r="AX163" s="19" t="n">
        <v>7</v>
      </c>
      <c r="AY163" s="19" t="n">
        <v>2025</v>
      </c>
    </row>
    <row r="164" customFormat="false" ht="12.8" hidden="false" customHeight="false" outlineLevel="0" collapsed="false">
      <c r="A164" s="19" t="s">
        <v>29</v>
      </c>
      <c r="B164" s="19" t="s">
        <v>4</v>
      </c>
      <c r="C164" s="19" t="s">
        <v>30</v>
      </c>
      <c r="D164" s="19" t="s">
        <v>186</v>
      </c>
      <c r="E164" s="19" t="s">
        <v>32</v>
      </c>
      <c r="G164" s="19" t="s">
        <v>33</v>
      </c>
      <c r="H164" s="19" t="s">
        <v>34</v>
      </c>
      <c r="I164" s="19" t="s">
        <v>254</v>
      </c>
      <c r="J164" s="19" t="s">
        <v>851</v>
      </c>
      <c r="K164" s="19" t="s">
        <v>388</v>
      </c>
      <c r="L164" s="19" t="s">
        <v>389</v>
      </c>
      <c r="M164" s="19" t="n">
        <v>2018</v>
      </c>
      <c r="N164" s="19" t="n">
        <v>50</v>
      </c>
      <c r="O164" s="19" t="n">
        <v>50</v>
      </c>
      <c r="P164" s="19" t="n">
        <v>50000</v>
      </c>
      <c r="Q164" s="19" t="n">
        <v>50000</v>
      </c>
      <c r="R164" s="19" t="s">
        <v>39</v>
      </c>
      <c r="S164" s="19" t="s">
        <v>256</v>
      </c>
      <c r="T164" s="19" t="s">
        <v>257</v>
      </c>
      <c r="U164" s="19" t="n">
        <v>1820050</v>
      </c>
      <c r="V164" s="19" t="n">
        <v>825000</v>
      </c>
      <c r="W164" s="19" t="n">
        <v>445050</v>
      </c>
      <c r="X164" s="19" t="s">
        <v>447</v>
      </c>
      <c r="Y164" s="19" t="n">
        <v>445050</v>
      </c>
      <c r="Z164" s="19" t="n">
        <v>250000</v>
      </c>
      <c r="AA164" s="19" t="n">
        <v>250000</v>
      </c>
      <c r="AB164" s="19" t="n">
        <v>1820050</v>
      </c>
      <c r="AC164" s="85" t="n">
        <v>43154</v>
      </c>
      <c r="AD164" s="85" t="n">
        <v>44196</v>
      </c>
      <c r="AE164" s="19" t="n">
        <v>1</v>
      </c>
      <c r="AF164" s="19" t="n">
        <v>182005</v>
      </c>
      <c r="AG164" s="85" t="n">
        <v>46013</v>
      </c>
      <c r="AH164" s="19" t="n">
        <v>1820050</v>
      </c>
      <c r="AI164" s="19" t="n">
        <v>0</v>
      </c>
      <c r="AJ164" s="19" t="s">
        <v>375</v>
      </c>
      <c r="AK164" s="85" t="n">
        <v>43154</v>
      </c>
      <c r="AL164" s="85" t="n">
        <v>44148</v>
      </c>
      <c r="AM164" s="19" t="n">
        <v>0.89</v>
      </c>
      <c r="AR164" s="19" t="s">
        <v>117</v>
      </c>
      <c r="AS164" s="19" t="s">
        <v>117</v>
      </c>
      <c r="AT164" s="19" t="s">
        <v>313</v>
      </c>
      <c r="AV164" s="19" t="n">
        <v>6</v>
      </c>
      <c r="AX164" s="19" t="n">
        <v>6</v>
      </c>
      <c r="AY164" s="19" t="n">
        <v>2025</v>
      </c>
    </row>
    <row r="165" customFormat="false" ht="12.8" hidden="false" customHeight="false" outlineLevel="0" collapsed="false">
      <c r="A165" s="19" t="s">
        <v>29</v>
      </c>
      <c r="B165" s="19" t="s">
        <v>4</v>
      </c>
      <c r="C165" s="19" t="s">
        <v>30</v>
      </c>
      <c r="D165" s="19" t="s">
        <v>186</v>
      </c>
      <c r="E165" s="19" t="s">
        <v>32</v>
      </c>
      <c r="G165" s="19" t="s">
        <v>33</v>
      </c>
      <c r="H165" s="19" t="s">
        <v>314</v>
      </c>
      <c r="I165" s="19" t="s">
        <v>258</v>
      </c>
      <c r="J165" s="19" t="s">
        <v>274</v>
      </c>
      <c r="K165" s="19" t="s">
        <v>315</v>
      </c>
      <c r="L165" s="19" t="s">
        <v>390</v>
      </c>
      <c r="M165" s="19" t="n">
        <v>2018</v>
      </c>
      <c r="N165" s="19" t="n">
        <v>50</v>
      </c>
      <c r="O165" s="19" t="n">
        <v>50</v>
      </c>
      <c r="P165" s="19" t="n">
        <v>50000</v>
      </c>
      <c r="Q165" s="19" t="n">
        <v>50000</v>
      </c>
      <c r="R165" s="19" t="s">
        <v>39</v>
      </c>
      <c r="S165" s="19" t="s">
        <v>256</v>
      </c>
      <c r="T165" s="19" t="s">
        <v>257</v>
      </c>
      <c r="U165" s="19" t="n">
        <v>1820050</v>
      </c>
      <c r="V165" s="19" t="n">
        <v>825000</v>
      </c>
      <c r="W165" s="19" t="n">
        <v>445050</v>
      </c>
      <c r="X165" s="19" t="s">
        <v>447</v>
      </c>
      <c r="Y165" s="19" t="n">
        <v>445050</v>
      </c>
      <c r="Z165" s="19" t="n">
        <v>250000</v>
      </c>
      <c r="AA165" s="19" t="n">
        <v>250000</v>
      </c>
      <c r="AB165" s="19" t="n">
        <v>1820050</v>
      </c>
      <c r="AC165" s="85" t="n">
        <v>43154</v>
      </c>
      <c r="AD165" s="85" t="n">
        <v>44196</v>
      </c>
      <c r="AE165" s="19" t="n">
        <v>1</v>
      </c>
      <c r="AF165" s="19" t="n">
        <v>182005</v>
      </c>
      <c r="AG165" s="85" t="n">
        <v>46013</v>
      </c>
      <c r="AH165" s="19" t="n">
        <v>1820050</v>
      </c>
      <c r="AI165" s="19" t="n">
        <v>0</v>
      </c>
      <c r="AJ165" s="19" t="s">
        <v>375</v>
      </c>
      <c r="AK165" s="85" t="n">
        <v>44172</v>
      </c>
      <c r="AL165" s="85" t="n">
        <v>44148</v>
      </c>
      <c r="AM165" s="19" t="n">
        <v>0.9</v>
      </c>
      <c r="AR165" s="19" t="s">
        <v>117</v>
      </c>
      <c r="AS165" s="19" t="s">
        <v>117</v>
      </c>
      <c r="AT165" s="19" t="s">
        <v>313</v>
      </c>
      <c r="AV165" s="19" t="n">
        <v>6</v>
      </c>
      <c r="AX165" s="19" t="n">
        <v>6</v>
      </c>
      <c r="AY165" s="19" t="n">
        <v>2025</v>
      </c>
    </row>
    <row r="166" customFormat="false" ht="12.8" hidden="false" customHeight="false" outlineLevel="0" collapsed="false">
      <c r="A166" s="19" t="s">
        <v>29</v>
      </c>
      <c r="B166" s="19" t="s">
        <v>4</v>
      </c>
      <c r="C166" s="19" t="s">
        <v>30</v>
      </c>
      <c r="D166" s="19" t="s">
        <v>259</v>
      </c>
      <c r="E166" s="19" t="s">
        <v>73</v>
      </c>
      <c r="G166" s="19" t="s">
        <v>33</v>
      </c>
      <c r="H166" s="19" t="s">
        <v>47</v>
      </c>
      <c r="I166" s="19" t="s">
        <v>260</v>
      </c>
      <c r="J166" s="19" t="s">
        <v>261</v>
      </c>
      <c r="K166" s="19" t="s">
        <v>391</v>
      </c>
      <c r="L166" s="19" t="s">
        <v>392</v>
      </c>
      <c r="M166" s="19" t="n">
        <v>2018</v>
      </c>
      <c r="N166" s="19" t="n">
        <v>50</v>
      </c>
      <c r="O166" s="19" t="n">
        <v>50</v>
      </c>
      <c r="P166" s="19" t="n">
        <v>83300</v>
      </c>
      <c r="Q166" s="19" t="n">
        <v>83300</v>
      </c>
      <c r="R166" s="19" t="s">
        <v>39</v>
      </c>
      <c r="S166" s="19" t="s">
        <v>231</v>
      </c>
      <c r="T166" s="19" t="s">
        <v>231</v>
      </c>
      <c r="U166" s="19" t="n">
        <v>2624500</v>
      </c>
      <c r="V166" s="19" t="n">
        <v>1249500</v>
      </c>
      <c r="W166" s="19" t="n">
        <v>325000</v>
      </c>
      <c r="X166" s="19" t="s">
        <v>447</v>
      </c>
      <c r="Y166" s="19" t="n">
        <v>445050</v>
      </c>
      <c r="Z166" s="19" t="n">
        <v>250000</v>
      </c>
      <c r="AA166" s="19" t="n">
        <v>250000</v>
      </c>
      <c r="AB166" s="19" t="n">
        <v>721500</v>
      </c>
      <c r="AC166" s="85" t="n">
        <v>43159</v>
      </c>
      <c r="AD166" s="85" t="n">
        <v>44196</v>
      </c>
      <c r="AE166" s="19" t="n">
        <v>1</v>
      </c>
      <c r="AH166" s="19" t="n">
        <v>2124500</v>
      </c>
      <c r="AI166" s="19" t="n">
        <v>0</v>
      </c>
      <c r="AJ166" s="19" t="s">
        <v>375</v>
      </c>
      <c r="AK166" s="85" t="n">
        <v>43154</v>
      </c>
      <c r="AL166" s="85" t="n">
        <v>44139</v>
      </c>
      <c r="AM166" s="19" t="n">
        <v>0.8519</v>
      </c>
      <c r="AN166" s="19" t="s">
        <v>393</v>
      </c>
      <c r="AO166" s="19" t="s">
        <v>1005</v>
      </c>
      <c r="AP166" s="19" t="s">
        <v>336</v>
      </c>
      <c r="AR166" s="19" t="s">
        <v>325</v>
      </c>
      <c r="AS166" s="19" t="s">
        <v>396</v>
      </c>
      <c r="AT166" s="19" t="s">
        <v>313</v>
      </c>
      <c r="AV166" s="19" t="n">
        <v>6</v>
      </c>
      <c r="AX166" s="19" t="n">
        <v>6</v>
      </c>
      <c r="AY166" s="19" t="n">
        <v>2025</v>
      </c>
    </row>
    <row r="167" customFormat="false" ht="12.8" hidden="false" customHeight="false" outlineLevel="0" collapsed="false">
      <c r="A167" s="19" t="s">
        <v>29</v>
      </c>
      <c r="B167" s="19" t="s">
        <v>4</v>
      </c>
      <c r="C167" s="19" t="s">
        <v>30</v>
      </c>
      <c r="D167" s="19" t="s">
        <v>85</v>
      </c>
      <c r="E167" s="19" t="s">
        <v>73</v>
      </c>
      <c r="G167" s="19" t="s">
        <v>33</v>
      </c>
      <c r="H167" s="19" t="s">
        <v>47</v>
      </c>
      <c r="I167" s="19" t="s">
        <v>262</v>
      </c>
      <c r="J167" s="19" t="s">
        <v>87</v>
      </c>
      <c r="K167" s="19" t="s">
        <v>397</v>
      </c>
      <c r="L167" s="19" t="s">
        <v>398</v>
      </c>
      <c r="M167" s="19" t="n">
        <v>2018</v>
      </c>
      <c r="N167" s="19" t="n">
        <v>50</v>
      </c>
      <c r="O167" s="19" t="n">
        <v>50</v>
      </c>
      <c r="P167" s="19" t="n">
        <v>58750</v>
      </c>
      <c r="Q167" s="19" t="n">
        <v>58750</v>
      </c>
      <c r="R167" s="19" t="s">
        <v>39</v>
      </c>
      <c r="S167" s="19" t="s">
        <v>40</v>
      </c>
      <c r="T167" s="19" t="s">
        <v>263</v>
      </c>
      <c r="U167" s="19" t="n">
        <v>1345000</v>
      </c>
      <c r="V167" s="19" t="n">
        <v>470000</v>
      </c>
      <c r="W167" s="19" t="n">
        <v>325000</v>
      </c>
      <c r="X167" s="19" t="s">
        <v>447</v>
      </c>
      <c r="Y167" s="19" t="n">
        <v>445050</v>
      </c>
      <c r="Z167" s="19" t="n">
        <v>250000</v>
      </c>
      <c r="AA167" s="19" t="n">
        <v>250000</v>
      </c>
      <c r="AB167" s="19" t="n">
        <v>1345000</v>
      </c>
      <c r="AC167" s="85" t="n">
        <v>43636</v>
      </c>
      <c r="AD167" s="85" t="n">
        <v>44196</v>
      </c>
      <c r="AE167" s="19" t="n">
        <v>1</v>
      </c>
      <c r="AF167" s="19" t="n">
        <v>134500</v>
      </c>
      <c r="AG167" s="85" t="n">
        <v>45874</v>
      </c>
      <c r="AH167" s="19" t="n">
        <v>1270000</v>
      </c>
      <c r="AI167" s="19" t="n">
        <v>0</v>
      </c>
      <c r="AJ167" s="19" t="s">
        <v>375</v>
      </c>
      <c r="AL167" s="85" t="n">
        <v>44145</v>
      </c>
      <c r="AM167" s="19" t="n">
        <v>0.8822</v>
      </c>
      <c r="AR167" s="19" t="s">
        <v>117</v>
      </c>
      <c r="AS167" s="19" t="s">
        <v>117</v>
      </c>
      <c r="AT167" s="19" t="s">
        <v>313</v>
      </c>
      <c r="AV167" s="19" t="n">
        <v>6</v>
      </c>
      <c r="AX167" s="19" t="n">
        <v>6</v>
      </c>
      <c r="AY167" s="19" t="n">
        <v>2025</v>
      </c>
    </row>
    <row r="168" customFormat="false" ht="12.8" hidden="false" customHeight="false" outlineLevel="0" collapsed="false">
      <c r="A168" s="19" t="s">
        <v>29</v>
      </c>
      <c r="B168" s="19" t="s">
        <v>4</v>
      </c>
      <c r="C168" s="19" t="s">
        <v>43</v>
      </c>
      <c r="D168" s="19" t="s">
        <v>44</v>
      </c>
      <c r="E168" s="19" t="s">
        <v>45</v>
      </c>
      <c r="G168" s="19" t="s">
        <v>46</v>
      </c>
      <c r="H168" s="19" t="s">
        <v>47</v>
      </c>
      <c r="I168" s="19" t="s">
        <v>264</v>
      </c>
      <c r="J168" s="19" t="s">
        <v>49</v>
      </c>
      <c r="K168" s="19" t="s">
        <v>50</v>
      </c>
      <c r="L168" s="19" t="s">
        <v>399</v>
      </c>
      <c r="M168" s="19" t="n">
        <v>2018</v>
      </c>
      <c r="N168" s="19" t="n">
        <v>50</v>
      </c>
      <c r="O168" s="19" t="n">
        <v>50</v>
      </c>
      <c r="P168" s="19" t="n">
        <v>50000</v>
      </c>
      <c r="Q168" s="19" t="n">
        <v>50000</v>
      </c>
      <c r="R168" s="19" t="s">
        <v>39</v>
      </c>
      <c r="S168" s="19" t="s">
        <v>52</v>
      </c>
      <c r="T168" s="19" t="s">
        <v>265</v>
      </c>
      <c r="U168" s="19" t="n">
        <v>1820050</v>
      </c>
      <c r="V168" s="19" t="n">
        <v>825000</v>
      </c>
      <c r="W168" s="19" t="n">
        <v>445050</v>
      </c>
      <c r="X168" s="19" t="s">
        <v>447</v>
      </c>
      <c r="Y168" s="19" t="n">
        <v>445050</v>
      </c>
      <c r="Z168" s="19" t="n">
        <v>250000</v>
      </c>
      <c r="AA168" s="19" t="n">
        <v>250000</v>
      </c>
      <c r="AB168" s="19" t="n">
        <v>1820050</v>
      </c>
      <c r="AC168" s="85" t="n">
        <v>43153</v>
      </c>
      <c r="AD168" s="85" t="n">
        <v>44196</v>
      </c>
      <c r="AE168" s="19" t="n">
        <v>1</v>
      </c>
      <c r="AF168" s="19" t="n">
        <v>182005</v>
      </c>
      <c r="AG168" s="85" t="n">
        <v>45874</v>
      </c>
      <c r="AH168" s="19" t="n">
        <v>1539542.5</v>
      </c>
      <c r="AI168" s="19" t="n">
        <v>0</v>
      </c>
      <c r="AJ168" s="19" t="s">
        <v>375</v>
      </c>
      <c r="AL168" s="85" t="n">
        <v>44162</v>
      </c>
      <c r="AM168" s="19" t="n">
        <v>0.899</v>
      </c>
      <c r="AR168" s="19" t="s">
        <v>117</v>
      </c>
      <c r="AS168" s="19" t="s">
        <v>117</v>
      </c>
      <c r="AT168" s="19" t="s">
        <v>313</v>
      </c>
      <c r="AV168" s="19" t="n">
        <v>6</v>
      </c>
      <c r="AX168" s="19" t="n">
        <v>6</v>
      </c>
      <c r="AY168" s="19" t="n">
        <v>2025</v>
      </c>
    </row>
    <row r="169" customFormat="false" ht="12.8" hidden="false" customHeight="false" outlineLevel="0" collapsed="false">
      <c r="A169" s="19" t="s">
        <v>29</v>
      </c>
      <c r="B169" s="19" t="s">
        <v>4</v>
      </c>
      <c r="C169" s="19" t="s">
        <v>30</v>
      </c>
      <c r="D169" s="19" t="s">
        <v>220</v>
      </c>
      <c r="E169" s="19" t="s">
        <v>221</v>
      </c>
      <c r="G169" s="19" t="s">
        <v>33</v>
      </c>
      <c r="H169" s="19" t="s">
        <v>47</v>
      </c>
      <c r="I169" s="19" t="s">
        <v>266</v>
      </c>
      <c r="J169" s="19" t="s">
        <v>740</v>
      </c>
      <c r="K169" s="19" t="s">
        <v>401</v>
      </c>
      <c r="L169" s="19" t="s">
        <v>402</v>
      </c>
      <c r="M169" s="19" t="n">
        <v>2018</v>
      </c>
      <c r="N169" s="19" t="n">
        <v>20</v>
      </c>
      <c r="O169" s="19" t="n">
        <v>20</v>
      </c>
      <c r="P169" s="19" t="n">
        <v>4000</v>
      </c>
      <c r="Q169" s="19" t="n">
        <v>4000</v>
      </c>
      <c r="R169" s="19" t="s">
        <v>39</v>
      </c>
      <c r="S169" s="19" t="s">
        <v>184</v>
      </c>
      <c r="T169" s="19" t="s">
        <v>185</v>
      </c>
      <c r="U169" s="19" t="n">
        <v>648020</v>
      </c>
      <c r="V169" s="19" t="n">
        <v>140000</v>
      </c>
      <c r="W169" s="19" t="n">
        <v>130000</v>
      </c>
      <c r="X169" s="19" t="s">
        <v>447</v>
      </c>
      <c r="Y169" s="19" t="n">
        <v>178020</v>
      </c>
      <c r="Z169" s="19" t="n">
        <v>100000</v>
      </c>
      <c r="AA169" s="19" t="n">
        <v>100000</v>
      </c>
      <c r="AE169" s="19" t="n">
        <v>1</v>
      </c>
      <c r="AF169" s="19" t="n">
        <v>49280</v>
      </c>
      <c r="AG169" s="85" t="n">
        <v>46013</v>
      </c>
      <c r="AT169" s="19" t="s">
        <v>373</v>
      </c>
      <c r="AV169" s="19" t="n">
        <v>3</v>
      </c>
      <c r="AX169" s="19" t="n">
        <v>3</v>
      </c>
      <c r="AY169" s="19" t="n">
        <v>2025</v>
      </c>
    </row>
    <row r="170" customFormat="false" ht="12.8" hidden="false" customHeight="false" outlineLevel="0" collapsed="false">
      <c r="A170" s="19" t="s">
        <v>29</v>
      </c>
      <c r="B170" s="19" t="s">
        <v>4</v>
      </c>
      <c r="C170" s="19" t="s">
        <v>30</v>
      </c>
      <c r="D170" s="19" t="s">
        <v>268</v>
      </c>
      <c r="E170" s="19" t="s">
        <v>178</v>
      </c>
      <c r="G170" s="19" t="s">
        <v>33</v>
      </c>
      <c r="H170" s="19" t="s">
        <v>47</v>
      </c>
      <c r="I170" s="19" t="s">
        <v>269</v>
      </c>
      <c r="J170" s="19" t="s">
        <v>270</v>
      </c>
      <c r="K170" s="19" t="s">
        <v>403</v>
      </c>
      <c r="L170" s="19" t="s">
        <v>404</v>
      </c>
      <c r="M170" s="19" t="n">
        <v>2018</v>
      </c>
      <c r="N170" s="19" t="n">
        <v>25</v>
      </c>
      <c r="O170" s="19" t="n">
        <v>25</v>
      </c>
      <c r="P170" s="19" t="n">
        <v>5000</v>
      </c>
      <c r="Q170" s="19" t="n">
        <v>5000</v>
      </c>
      <c r="R170" s="19" t="s">
        <v>39</v>
      </c>
      <c r="S170" s="19" t="s">
        <v>184</v>
      </c>
      <c r="T170" s="19" t="s">
        <v>184</v>
      </c>
      <c r="U170" s="19" t="n">
        <v>810025</v>
      </c>
      <c r="V170" s="19" t="n">
        <v>175000</v>
      </c>
      <c r="W170" s="19" t="n">
        <v>162500</v>
      </c>
      <c r="X170" s="19" t="s">
        <v>447</v>
      </c>
      <c r="Y170" s="19" t="n">
        <v>222525</v>
      </c>
      <c r="Z170" s="19" t="n">
        <v>125000</v>
      </c>
      <c r="AA170" s="19" t="n">
        <v>125000</v>
      </c>
      <c r="AE170" s="19" t="n">
        <v>1</v>
      </c>
      <c r="AT170" s="19" t="s">
        <v>373</v>
      </c>
      <c r="AV170" s="19" t="n">
        <v>3</v>
      </c>
      <c r="AX170" s="19" t="n">
        <v>3</v>
      </c>
      <c r="AY170" s="19" t="n">
        <v>2025</v>
      </c>
    </row>
    <row r="171" customFormat="false" ht="12.8" hidden="false" customHeight="false" outlineLevel="0" collapsed="false">
      <c r="A171" s="19" t="s">
        <v>29</v>
      </c>
      <c r="B171" s="19" t="s">
        <v>4</v>
      </c>
      <c r="C171" s="19" t="s">
        <v>30</v>
      </c>
      <c r="D171" s="19" t="s">
        <v>259</v>
      </c>
      <c r="E171" s="19" t="s">
        <v>73</v>
      </c>
      <c r="G171" s="19" t="s">
        <v>33</v>
      </c>
      <c r="H171" s="19" t="s">
        <v>47</v>
      </c>
      <c r="I171" s="19" t="s">
        <v>271</v>
      </c>
      <c r="J171" s="19" t="s">
        <v>261</v>
      </c>
      <c r="K171" s="19" t="s">
        <v>405</v>
      </c>
      <c r="L171" s="19" t="s">
        <v>406</v>
      </c>
      <c r="M171" s="19" t="n">
        <v>2018</v>
      </c>
      <c r="N171" s="19" t="n">
        <v>17</v>
      </c>
      <c r="O171" s="19" t="n">
        <v>17</v>
      </c>
      <c r="P171" s="19" t="n">
        <v>17000</v>
      </c>
      <c r="Q171" s="19" t="n">
        <v>17000</v>
      </c>
      <c r="R171" s="19" t="s">
        <v>52</v>
      </c>
      <c r="S171" s="19" t="s">
        <v>52</v>
      </c>
      <c r="T171" s="19" t="s">
        <v>231</v>
      </c>
      <c r="U171" s="19" t="n">
        <v>856647</v>
      </c>
      <c r="V171" s="19" t="n">
        <v>424830</v>
      </c>
      <c r="W171" s="19" t="n">
        <v>110500</v>
      </c>
      <c r="X171" s="19" t="s">
        <v>447</v>
      </c>
      <c r="Y171" s="19" t="n">
        <v>151317</v>
      </c>
      <c r="Z171" s="19" t="n">
        <v>85000</v>
      </c>
      <c r="AA171" s="19" t="n">
        <v>85000</v>
      </c>
      <c r="AE171" s="19" t="n">
        <v>1</v>
      </c>
      <c r="AT171" s="19" t="s">
        <v>407</v>
      </c>
      <c r="AV171" s="19" t="n">
        <v>3</v>
      </c>
      <c r="AX171" s="19" t="n">
        <v>3</v>
      </c>
      <c r="AY171" s="19" t="n">
        <v>2025</v>
      </c>
    </row>
    <row r="172" customFormat="false" ht="12.8" hidden="false" customHeight="false" outlineLevel="0" collapsed="false">
      <c r="A172" s="19" t="s">
        <v>29</v>
      </c>
      <c r="B172" s="19" t="s">
        <v>4</v>
      </c>
      <c r="C172" s="19" t="s">
        <v>30</v>
      </c>
      <c r="D172" s="19" t="s">
        <v>186</v>
      </c>
      <c r="E172" s="19" t="s">
        <v>32</v>
      </c>
      <c r="G172" s="19" t="s">
        <v>33</v>
      </c>
      <c r="H172" s="19" t="s">
        <v>47</v>
      </c>
      <c r="I172" s="19" t="s">
        <v>273</v>
      </c>
      <c r="J172" s="19" t="s">
        <v>274</v>
      </c>
      <c r="K172" s="19" t="s">
        <v>408</v>
      </c>
      <c r="L172" s="19" t="s">
        <v>409</v>
      </c>
      <c r="M172" s="19" t="n">
        <v>2018</v>
      </c>
      <c r="N172" s="19" t="n">
        <v>60</v>
      </c>
      <c r="O172" s="19" t="n">
        <v>60</v>
      </c>
      <c r="P172" s="19" t="n">
        <v>70500</v>
      </c>
      <c r="Q172" s="19" t="n">
        <v>70500</v>
      </c>
      <c r="R172" s="19" t="s">
        <v>39</v>
      </c>
      <c r="S172" s="19" t="s">
        <v>40</v>
      </c>
      <c r="T172" s="19" t="s">
        <v>275</v>
      </c>
      <c r="U172" s="19" t="n">
        <v>2088060</v>
      </c>
      <c r="V172" s="19" t="n">
        <v>564000</v>
      </c>
      <c r="W172" s="19" t="n">
        <v>390000</v>
      </c>
      <c r="X172" s="19" t="s">
        <v>447</v>
      </c>
      <c r="Y172" s="19" t="n">
        <v>534060</v>
      </c>
      <c r="Z172" s="19" t="n">
        <v>300000</v>
      </c>
      <c r="AA172" s="19" t="n">
        <v>300000</v>
      </c>
      <c r="AE172" s="19" t="n">
        <v>1</v>
      </c>
      <c r="AT172" s="19" t="s">
        <v>407</v>
      </c>
      <c r="AV172" s="19" t="n">
        <v>7</v>
      </c>
      <c r="AX172" s="19" t="n">
        <v>7</v>
      </c>
      <c r="AY172" s="19" t="n">
        <v>2025</v>
      </c>
    </row>
    <row r="173" customFormat="false" ht="12.8" hidden="false" customHeight="false" outlineLevel="0" collapsed="false">
      <c r="A173" s="19" t="s">
        <v>29</v>
      </c>
      <c r="B173" s="19" t="s">
        <v>4</v>
      </c>
      <c r="C173" s="19" t="s">
        <v>30</v>
      </c>
      <c r="D173" s="19" t="s">
        <v>97</v>
      </c>
      <c r="E173" s="19" t="s">
        <v>79</v>
      </c>
      <c r="G173" s="19" t="s">
        <v>80</v>
      </c>
      <c r="H173" s="19" t="s">
        <v>47</v>
      </c>
      <c r="I173" s="19" t="s">
        <v>143</v>
      </c>
      <c r="J173" s="19" t="s">
        <v>998</v>
      </c>
      <c r="K173" s="19" t="s">
        <v>379</v>
      </c>
      <c r="L173" s="19" t="s">
        <v>410</v>
      </c>
      <c r="M173" s="19" t="n">
        <v>2020</v>
      </c>
      <c r="N173" s="19" t="n">
        <v>15</v>
      </c>
      <c r="O173" s="19" t="n">
        <v>15</v>
      </c>
      <c r="P173" s="19" t="n">
        <v>24990</v>
      </c>
      <c r="Q173" s="19" t="n">
        <v>24990</v>
      </c>
      <c r="R173" s="19" t="s">
        <v>39</v>
      </c>
      <c r="S173" s="19" t="s">
        <v>40</v>
      </c>
      <c r="T173" s="19" t="s">
        <v>145</v>
      </c>
      <c r="U173" s="19" t="n">
        <v>477420</v>
      </c>
      <c r="V173" s="19" t="n">
        <v>199920</v>
      </c>
      <c r="W173" s="19" t="n">
        <v>97500</v>
      </c>
      <c r="X173" s="19" t="s">
        <v>447</v>
      </c>
      <c r="Y173" s="19" t="n">
        <v>327420</v>
      </c>
      <c r="Z173" s="19" t="n">
        <v>75000</v>
      </c>
      <c r="AA173" s="19" t="n">
        <v>75000</v>
      </c>
      <c r="AB173" s="19" t="n">
        <v>477420</v>
      </c>
      <c r="AC173" s="85" t="n">
        <v>43902</v>
      </c>
      <c r="AD173" s="85" t="n">
        <v>44926</v>
      </c>
      <c r="AE173" s="19" t="n">
        <v>1</v>
      </c>
      <c r="AH173" s="19" t="n">
        <v>447420</v>
      </c>
      <c r="AI173" s="19" t="n">
        <v>0</v>
      </c>
      <c r="AJ173" s="19" t="s">
        <v>375</v>
      </c>
      <c r="AK173" s="85" t="n">
        <v>43896</v>
      </c>
      <c r="AL173" s="85" t="n">
        <v>44876</v>
      </c>
      <c r="AM173" s="19" t="n">
        <v>0.8675</v>
      </c>
      <c r="AR173" s="19" t="s">
        <v>117</v>
      </c>
      <c r="AS173" s="19" t="s">
        <v>117</v>
      </c>
      <c r="AT173" s="19" t="s">
        <v>313</v>
      </c>
      <c r="AV173" s="19" t="n">
        <v>2</v>
      </c>
      <c r="AX173" s="19" t="n">
        <v>2</v>
      </c>
      <c r="AY173" s="19" t="n">
        <v>2025</v>
      </c>
    </row>
    <row r="174" customFormat="false" ht="12.8" hidden="false" customHeight="false" outlineLevel="0" collapsed="false">
      <c r="A174" s="19" t="s">
        <v>29</v>
      </c>
      <c r="B174" s="19" t="s">
        <v>4</v>
      </c>
      <c r="C174" s="19" t="s">
        <v>30</v>
      </c>
      <c r="D174" s="19" t="s">
        <v>55</v>
      </c>
      <c r="E174" s="19" t="s">
        <v>32</v>
      </c>
      <c r="G174" s="19" t="s">
        <v>33</v>
      </c>
      <c r="H174" s="19" t="s">
        <v>34</v>
      </c>
      <c r="I174" s="19" t="s">
        <v>146</v>
      </c>
      <c r="J174" s="19" t="s">
        <v>57</v>
      </c>
      <c r="K174" s="19" t="s">
        <v>58</v>
      </c>
      <c r="L174" s="19" t="s">
        <v>412</v>
      </c>
      <c r="M174" s="19" t="n">
        <v>2020</v>
      </c>
      <c r="N174" s="19" t="n">
        <v>25</v>
      </c>
      <c r="O174" s="19" t="n">
        <v>25</v>
      </c>
      <c r="P174" s="19" t="n">
        <v>41650</v>
      </c>
      <c r="Q174" s="19" t="n">
        <v>41650</v>
      </c>
      <c r="R174" s="19" t="s">
        <v>39</v>
      </c>
      <c r="S174" s="19" t="s">
        <v>40</v>
      </c>
      <c r="T174" s="19" t="s">
        <v>145</v>
      </c>
      <c r="U174" s="19" t="n">
        <v>795700</v>
      </c>
      <c r="V174" s="19" t="n">
        <v>333200</v>
      </c>
      <c r="W174" s="19" t="n">
        <v>162500</v>
      </c>
      <c r="X174" s="19" t="s">
        <v>447</v>
      </c>
      <c r="Y174" s="19" t="n">
        <v>545700</v>
      </c>
      <c r="Z174" s="19" t="n">
        <v>125000</v>
      </c>
      <c r="AA174" s="19" t="n">
        <v>125000</v>
      </c>
      <c r="AB174" s="19" t="n">
        <v>795700</v>
      </c>
      <c r="AC174" s="85" t="n">
        <v>43902</v>
      </c>
      <c r="AD174" s="85" t="n">
        <v>44926</v>
      </c>
      <c r="AE174" s="19" t="n">
        <v>1</v>
      </c>
      <c r="AH174" s="19" t="n">
        <v>795700</v>
      </c>
      <c r="AI174" s="19" t="n">
        <v>0</v>
      </c>
      <c r="AJ174" s="19" t="s">
        <v>375</v>
      </c>
      <c r="AK174" s="85" t="n">
        <v>43896</v>
      </c>
      <c r="AL174" s="85" t="n">
        <v>44876</v>
      </c>
      <c r="AM174" s="19" t="n">
        <v>0.8624</v>
      </c>
      <c r="AN174" s="19" t="s">
        <v>1006</v>
      </c>
      <c r="AO174" s="19" t="s">
        <v>413</v>
      </c>
      <c r="AR174" s="19" t="s">
        <v>117</v>
      </c>
      <c r="AS174" s="19" t="s">
        <v>117</v>
      </c>
      <c r="AT174" s="19" t="s">
        <v>313</v>
      </c>
      <c r="AV174" s="19" t="n">
        <v>3</v>
      </c>
      <c r="AX174" s="19" t="n">
        <v>3</v>
      </c>
      <c r="AY174" s="19" t="n">
        <v>2025</v>
      </c>
    </row>
    <row r="175" customFormat="false" ht="12.8" hidden="false" customHeight="false" outlineLevel="0" collapsed="false">
      <c r="A175" s="19" t="s">
        <v>29</v>
      </c>
      <c r="B175" s="19" t="s">
        <v>4</v>
      </c>
      <c r="C175" s="19" t="s">
        <v>30</v>
      </c>
      <c r="D175" s="19" t="s">
        <v>55</v>
      </c>
      <c r="E175" s="19" t="s">
        <v>32</v>
      </c>
      <c r="G175" s="19" t="s">
        <v>33</v>
      </c>
      <c r="H175" s="19" t="s">
        <v>34</v>
      </c>
      <c r="I175" s="19" t="s">
        <v>148</v>
      </c>
      <c r="J175" s="19" t="s">
        <v>57</v>
      </c>
      <c r="K175" s="19" t="s">
        <v>58</v>
      </c>
      <c r="L175" s="19" t="s">
        <v>412</v>
      </c>
      <c r="M175" s="19" t="n">
        <v>2020</v>
      </c>
      <c r="N175" s="19" t="n">
        <v>20</v>
      </c>
      <c r="O175" s="19" t="n">
        <v>20</v>
      </c>
      <c r="P175" s="19" t="n">
        <v>33320</v>
      </c>
      <c r="Q175" s="19" t="n">
        <v>33320</v>
      </c>
      <c r="R175" s="19" t="s">
        <v>39</v>
      </c>
      <c r="S175" s="19" t="s">
        <v>40</v>
      </c>
      <c r="T175" s="19" t="s">
        <v>145</v>
      </c>
      <c r="U175" s="19" t="n">
        <v>636560</v>
      </c>
      <c r="V175" s="19" t="n">
        <v>188000</v>
      </c>
      <c r="W175" s="19" t="n">
        <v>130000</v>
      </c>
      <c r="X175" s="19" t="s">
        <v>447</v>
      </c>
      <c r="Y175" s="19" t="n">
        <v>436560</v>
      </c>
      <c r="Z175" s="19" t="n">
        <v>100000</v>
      </c>
      <c r="AA175" s="19" t="n">
        <v>100000</v>
      </c>
      <c r="AB175" s="19" t="n">
        <v>636560</v>
      </c>
      <c r="AC175" s="85" t="n">
        <v>43902</v>
      </c>
      <c r="AD175" s="85" t="n">
        <v>44926</v>
      </c>
      <c r="AE175" s="19" t="n">
        <v>1</v>
      </c>
      <c r="AH175" s="19" t="n">
        <v>636560</v>
      </c>
      <c r="AI175" s="19" t="n">
        <v>0</v>
      </c>
      <c r="AJ175" s="19" t="s">
        <v>375</v>
      </c>
      <c r="AK175" s="85" t="n">
        <v>43896</v>
      </c>
      <c r="AL175" s="85" t="n">
        <v>44875</v>
      </c>
      <c r="AM175" s="19" t="n">
        <v>0.8624</v>
      </c>
      <c r="AR175" s="19" t="s">
        <v>117</v>
      </c>
      <c r="AS175" s="19" t="s">
        <v>117</v>
      </c>
      <c r="AT175" s="19" t="s">
        <v>313</v>
      </c>
      <c r="AV175" s="19" t="n">
        <v>3</v>
      </c>
      <c r="AX175" s="19" t="n">
        <v>3</v>
      </c>
      <c r="AY175" s="19" t="n">
        <v>2025</v>
      </c>
    </row>
    <row r="176" customFormat="false" ht="12.8" hidden="false" customHeight="false" outlineLevel="0" collapsed="false">
      <c r="A176" s="19" t="s">
        <v>29</v>
      </c>
      <c r="B176" s="19" t="s">
        <v>4</v>
      </c>
      <c r="C176" s="19" t="s">
        <v>30</v>
      </c>
      <c r="D176" s="19" t="s">
        <v>55</v>
      </c>
      <c r="E176" s="19" t="s">
        <v>32</v>
      </c>
      <c r="G176" s="19" t="s">
        <v>33</v>
      </c>
      <c r="H176" s="19" t="s">
        <v>47</v>
      </c>
      <c r="I176" s="19" t="s">
        <v>149</v>
      </c>
      <c r="J176" s="19" t="s">
        <v>57</v>
      </c>
      <c r="K176" s="19" t="s">
        <v>58</v>
      </c>
      <c r="L176" s="19" t="s">
        <v>412</v>
      </c>
      <c r="M176" s="19" t="n">
        <v>2020</v>
      </c>
      <c r="N176" s="19" t="n">
        <v>20</v>
      </c>
      <c r="O176" s="19" t="n">
        <v>20</v>
      </c>
      <c r="P176" s="19" t="n">
        <v>33320</v>
      </c>
      <c r="Q176" s="19" t="n">
        <v>33320</v>
      </c>
      <c r="R176" s="19" t="s">
        <v>39</v>
      </c>
      <c r="S176" s="19" t="s">
        <v>40</v>
      </c>
      <c r="T176" s="19" t="s">
        <v>145</v>
      </c>
      <c r="U176" s="19" t="n">
        <v>636560</v>
      </c>
      <c r="V176" s="19" t="n">
        <v>266560</v>
      </c>
      <c r="W176" s="19" t="n">
        <v>130000</v>
      </c>
      <c r="X176" s="19" t="s">
        <v>447</v>
      </c>
      <c r="Y176" s="19" t="n">
        <v>436560</v>
      </c>
      <c r="Z176" s="19" t="n">
        <v>100000</v>
      </c>
      <c r="AA176" s="19" t="n">
        <v>100000</v>
      </c>
      <c r="AB176" s="19" t="n">
        <v>636560</v>
      </c>
      <c r="AC176" s="85" t="n">
        <v>43902</v>
      </c>
      <c r="AD176" s="85" t="n">
        <v>44926</v>
      </c>
      <c r="AE176" s="19" t="n">
        <v>1</v>
      </c>
      <c r="AH176" s="19" t="n">
        <v>636560</v>
      </c>
      <c r="AI176" s="19" t="n">
        <v>0</v>
      </c>
      <c r="AJ176" s="19" t="s">
        <v>375</v>
      </c>
      <c r="AK176" s="85" t="n">
        <v>43896</v>
      </c>
      <c r="AL176" s="85" t="n">
        <v>44873</v>
      </c>
      <c r="AM176" s="19" t="n">
        <v>0.8544</v>
      </c>
      <c r="AN176" s="19" t="s">
        <v>464</v>
      </c>
      <c r="AO176" s="19" t="s">
        <v>414</v>
      </c>
      <c r="AR176" s="19" t="s">
        <v>117</v>
      </c>
      <c r="AS176" s="19" t="s">
        <v>117</v>
      </c>
      <c r="AT176" s="19" t="s">
        <v>313</v>
      </c>
      <c r="AV176" s="19" t="n">
        <v>3</v>
      </c>
      <c r="AX176" s="19" t="n">
        <v>3</v>
      </c>
      <c r="AY176" s="19" t="n">
        <v>2025</v>
      </c>
    </row>
    <row r="177" customFormat="false" ht="12.8" hidden="false" customHeight="false" outlineLevel="0" collapsed="false">
      <c r="A177" s="19" t="s">
        <v>29</v>
      </c>
      <c r="B177" s="19" t="s">
        <v>4</v>
      </c>
      <c r="C177" s="19" t="s">
        <v>30</v>
      </c>
      <c r="D177" s="19" t="s">
        <v>55</v>
      </c>
      <c r="E177" s="19" t="s">
        <v>32</v>
      </c>
      <c r="G177" s="19" t="s">
        <v>33</v>
      </c>
      <c r="H177" s="19" t="s">
        <v>34</v>
      </c>
      <c r="I177" s="19" t="s">
        <v>150</v>
      </c>
      <c r="J177" s="19" t="s">
        <v>57</v>
      </c>
      <c r="K177" s="19" t="s">
        <v>58</v>
      </c>
      <c r="L177" s="19" t="s">
        <v>412</v>
      </c>
      <c r="M177" s="19" t="n">
        <v>2020</v>
      </c>
      <c r="N177" s="19" t="n">
        <v>20</v>
      </c>
      <c r="O177" s="19" t="n">
        <v>20</v>
      </c>
      <c r="P177" s="19" t="n">
        <v>33320</v>
      </c>
      <c r="Q177" s="19" t="n">
        <v>33320</v>
      </c>
      <c r="R177" s="19" t="s">
        <v>39</v>
      </c>
      <c r="S177" s="19" t="s">
        <v>40</v>
      </c>
      <c r="T177" s="19" t="s">
        <v>145</v>
      </c>
      <c r="U177" s="19" t="n">
        <v>636560</v>
      </c>
      <c r="V177" s="19" t="n">
        <v>266560</v>
      </c>
      <c r="W177" s="19" t="n">
        <v>130000</v>
      </c>
      <c r="X177" s="19" t="s">
        <v>447</v>
      </c>
      <c r="Y177" s="19" t="n">
        <v>436560</v>
      </c>
      <c r="Z177" s="19" t="n">
        <v>100000</v>
      </c>
      <c r="AA177" s="19" t="n">
        <v>100000</v>
      </c>
      <c r="AB177" s="19" t="n">
        <v>636560</v>
      </c>
      <c r="AC177" s="85" t="n">
        <v>43902</v>
      </c>
      <c r="AD177" s="85" t="n">
        <v>44926</v>
      </c>
      <c r="AE177" s="19" t="n">
        <v>1</v>
      </c>
      <c r="AH177" s="19" t="n">
        <v>636560</v>
      </c>
      <c r="AI177" s="19" t="n">
        <v>0</v>
      </c>
      <c r="AJ177" s="19" t="s">
        <v>375</v>
      </c>
      <c r="AK177" s="85" t="n">
        <v>43896</v>
      </c>
      <c r="AL177" s="85" t="n">
        <v>44874</v>
      </c>
      <c r="AM177" s="19" t="n">
        <v>0.8574</v>
      </c>
      <c r="AN177" s="19" t="s">
        <v>464</v>
      </c>
      <c r="AO177" s="19" t="s">
        <v>414</v>
      </c>
      <c r="AR177" s="19" t="s">
        <v>117</v>
      </c>
      <c r="AS177" s="19" t="s">
        <v>117</v>
      </c>
      <c r="AT177" s="19" t="s">
        <v>313</v>
      </c>
      <c r="AV177" s="19" t="n">
        <v>3</v>
      </c>
      <c r="AX177" s="19" t="n">
        <v>3</v>
      </c>
      <c r="AY177" s="19" t="n">
        <v>2025</v>
      </c>
    </row>
    <row r="178" customFormat="false" ht="12.8" hidden="false" customHeight="false" outlineLevel="0" collapsed="false">
      <c r="A178" s="19" t="s">
        <v>29</v>
      </c>
      <c r="B178" s="19" t="s">
        <v>4</v>
      </c>
      <c r="C178" s="19" t="s">
        <v>30</v>
      </c>
      <c r="D178" s="19" t="s">
        <v>151</v>
      </c>
      <c r="E178" s="19" t="s">
        <v>32</v>
      </c>
      <c r="G178" s="19" t="s">
        <v>33</v>
      </c>
      <c r="H178" s="19" t="s">
        <v>34</v>
      </c>
      <c r="I178" s="19" t="s">
        <v>152</v>
      </c>
      <c r="J178" s="19" t="s">
        <v>828</v>
      </c>
      <c r="K178" s="19" t="s">
        <v>318</v>
      </c>
      <c r="L178" s="19" t="s">
        <v>415</v>
      </c>
      <c r="M178" s="19" t="n">
        <v>2020</v>
      </c>
      <c r="N178" s="19" t="n">
        <v>25</v>
      </c>
      <c r="O178" s="19" t="n">
        <v>25</v>
      </c>
      <c r="P178" s="19" t="n">
        <v>41650</v>
      </c>
      <c r="Q178" s="19" t="n">
        <v>41650</v>
      </c>
      <c r="R178" s="19" t="s">
        <v>39</v>
      </c>
      <c r="S178" s="19" t="s">
        <v>40</v>
      </c>
      <c r="T178" s="19" t="s">
        <v>154</v>
      </c>
      <c r="U178" s="19" t="n">
        <v>795700</v>
      </c>
      <c r="V178" s="19" t="n">
        <v>333200</v>
      </c>
      <c r="W178" s="19" t="n">
        <v>162500</v>
      </c>
      <c r="X178" s="19" t="s">
        <v>447</v>
      </c>
      <c r="Y178" s="19" t="n">
        <v>545700</v>
      </c>
      <c r="Z178" s="19" t="n">
        <v>125000</v>
      </c>
      <c r="AA178" s="19" t="n">
        <v>125000</v>
      </c>
      <c r="AB178" s="19" t="n">
        <v>795700</v>
      </c>
      <c r="AC178" s="85" t="n">
        <v>43902</v>
      </c>
      <c r="AD178" s="85" t="n">
        <v>44926</v>
      </c>
      <c r="AE178" s="19" t="n">
        <v>1</v>
      </c>
      <c r="AH178" s="19" t="n">
        <v>795700</v>
      </c>
      <c r="AI178" s="19" t="n">
        <v>0</v>
      </c>
      <c r="AJ178" s="19" t="s">
        <v>375</v>
      </c>
      <c r="AK178" s="85" t="n">
        <v>43896</v>
      </c>
      <c r="AL178" s="85" t="n">
        <v>44889</v>
      </c>
      <c r="AM178" s="19" t="n">
        <v>0.8579</v>
      </c>
      <c r="AR178" s="19" t="s">
        <v>311</v>
      </c>
      <c r="AS178" s="19" t="s">
        <v>317</v>
      </c>
      <c r="AT178" s="19" t="s">
        <v>313</v>
      </c>
      <c r="AV178" s="19" t="n">
        <v>3</v>
      </c>
      <c r="AX178" s="19" t="n">
        <v>3</v>
      </c>
      <c r="AY178" s="19" t="n">
        <v>2025</v>
      </c>
    </row>
    <row r="179" customFormat="false" ht="12.8" hidden="false" customHeight="false" outlineLevel="0" collapsed="false">
      <c r="A179" s="19" t="s">
        <v>29</v>
      </c>
      <c r="B179" s="19" t="s">
        <v>4</v>
      </c>
      <c r="C179" s="19" t="s">
        <v>30</v>
      </c>
      <c r="D179" s="19" t="s">
        <v>151</v>
      </c>
      <c r="E179" s="19" t="s">
        <v>32</v>
      </c>
      <c r="G179" s="19" t="s">
        <v>33</v>
      </c>
      <c r="H179" s="19" t="s">
        <v>34</v>
      </c>
      <c r="I179" s="19" t="s">
        <v>155</v>
      </c>
      <c r="J179" s="19" t="s">
        <v>828</v>
      </c>
      <c r="K179" s="19" t="s">
        <v>318</v>
      </c>
      <c r="L179" s="19" t="s">
        <v>415</v>
      </c>
      <c r="M179" s="19" t="n">
        <v>2020</v>
      </c>
      <c r="N179" s="19" t="n">
        <v>25</v>
      </c>
      <c r="O179" s="19" t="n">
        <v>25</v>
      </c>
      <c r="P179" s="19" t="n">
        <v>41650</v>
      </c>
      <c r="Q179" s="19" t="n">
        <v>41650</v>
      </c>
      <c r="R179" s="19" t="s">
        <v>39</v>
      </c>
      <c r="S179" s="19" t="s">
        <v>40</v>
      </c>
      <c r="T179" s="19" t="s">
        <v>154</v>
      </c>
      <c r="U179" s="19" t="n">
        <v>795700</v>
      </c>
      <c r="V179" s="19" t="n">
        <v>333200</v>
      </c>
      <c r="W179" s="19" t="n">
        <v>162500</v>
      </c>
      <c r="X179" s="19" t="s">
        <v>447</v>
      </c>
      <c r="Y179" s="19" t="n">
        <v>545700</v>
      </c>
      <c r="Z179" s="19" t="n">
        <v>125000</v>
      </c>
      <c r="AA179" s="19" t="n">
        <v>125000</v>
      </c>
      <c r="AB179" s="19" t="n">
        <v>795700</v>
      </c>
      <c r="AC179" s="85" t="n">
        <v>43902</v>
      </c>
      <c r="AD179" s="85" t="n">
        <v>44926</v>
      </c>
      <c r="AE179" s="19" t="n">
        <v>1</v>
      </c>
      <c r="AH179" s="19" t="n">
        <v>795700</v>
      </c>
      <c r="AI179" s="19" t="n">
        <v>0</v>
      </c>
      <c r="AJ179" s="19" t="s">
        <v>375</v>
      </c>
      <c r="AK179" s="85" t="n">
        <v>43896</v>
      </c>
      <c r="AL179" s="85" t="n">
        <v>44888</v>
      </c>
      <c r="AM179" s="19" t="n">
        <v>0.8572</v>
      </c>
      <c r="AR179" s="19" t="s">
        <v>311</v>
      </c>
      <c r="AS179" s="19" t="s">
        <v>317</v>
      </c>
      <c r="AT179" s="19" t="s">
        <v>313</v>
      </c>
      <c r="AV179" s="19" t="n">
        <v>3</v>
      </c>
      <c r="AX179" s="19" t="n">
        <v>3</v>
      </c>
      <c r="AY179" s="19" t="n">
        <v>2025</v>
      </c>
    </row>
    <row r="180" customFormat="false" ht="12.8" hidden="false" customHeight="false" outlineLevel="0" collapsed="false">
      <c r="A180" s="19" t="s">
        <v>29</v>
      </c>
      <c r="B180" s="19" t="s">
        <v>4</v>
      </c>
      <c r="C180" s="19" t="s">
        <v>30</v>
      </c>
      <c r="D180" s="19" t="s">
        <v>151</v>
      </c>
      <c r="E180" s="19" t="s">
        <v>32</v>
      </c>
      <c r="G180" s="19" t="s">
        <v>33</v>
      </c>
      <c r="H180" s="19" t="s">
        <v>34</v>
      </c>
      <c r="I180" s="19" t="s">
        <v>156</v>
      </c>
      <c r="J180" s="19" t="s">
        <v>828</v>
      </c>
      <c r="K180" s="19" t="s">
        <v>318</v>
      </c>
      <c r="L180" s="19" t="s">
        <v>415</v>
      </c>
      <c r="M180" s="19" t="n">
        <v>2020</v>
      </c>
      <c r="N180" s="19" t="n">
        <v>25</v>
      </c>
      <c r="O180" s="19" t="n">
        <v>25</v>
      </c>
      <c r="P180" s="19" t="n">
        <v>41650</v>
      </c>
      <c r="Q180" s="19" t="n">
        <v>41650</v>
      </c>
      <c r="R180" s="19" t="s">
        <v>39</v>
      </c>
      <c r="S180" s="19" t="s">
        <v>40</v>
      </c>
      <c r="T180" s="19" t="s">
        <v>154</v>
      </c>
      <c r="U180" s="19" t="n">
        <v>795700</v>
      </c>
      <c r="V180" s="19" t="n">
        <v>333200</v>
      </c>
      <c r="W180" s="19" t="n">
        <v>162500</v>
      </c>
      <c r="X180" s="19" t="s">
        <v>447</v>
      </c>
      <c r="Y180" s="19" t="n">
        <v>545700</v>
      </c>
      <c r="Z180" s="19" t="n">
        <v>125000</v>
      </c>
      <c r="AA180" s="19" t="n">
        <v>125000</v>
      </c>
      <c r="AB180" s="19" t="n">
        <v>795700</v>
      </c>
      <c r="AC180" s="85" t="n">
        <v>43902</v>
      </c>
      <c r="AD180" s="85" t="n">
        <v>44926</v>
      </c>
      <c r="AE180" s="19" t="n">
        <v>1</v>
      </c>
      <c r="AH180" s="19" t="n">
        <v>795700</v>
      </c>
      <c r="AI180" s="19" t="n">
        <v>0</v>
      </c>
      <c r="AJ180" s="19" t="s">
        <v>375</v>
      </c>
      <c r="AK180" s="85" t="n">
        <v>43896</v>
      </c>
      <c r="AL180" s="85" t="n">
        <v>44889</v>
      </c>
      <c r="AM180" s="19" t="n">
        <v>0.8609</v>
      </c>
      <c r="AR180" s="19" t="s">
        <v>311</v>
      </c>
      <c r="AS180" s="19" t="s">
        <v>317</v>
      </c>
      <c r="AT180" s="19" t="s">
        <v>313</v>
      </c>
      <c r="AV180" s="19" t="n">
        <v>3</v>
      </c>
      <c r="AX180" s="19" t="n">
        <v>3</v>
      </c>
      <c r="AY180" s="19" t="n">
        <v>2025</v>
      </c>
    </row>
    <row r="181" customFormat="false" ht="12.8" hidden="false" customHeight="false" outlineLevel="0" collapsed="false">
      <c r="A181" s="19" t="s">
        <v>29</v>
      </c>
      <c r="B181" s="19" t="s">
        <v>4</v>
      </c>
      <c r="C181" s="19" t="s">
        <v>30</v>
      </c>
      <c r="D181" s="19" t="s">
        <v>151</v>
      </c>
      <c r="E181" s="19" t="s">
        <v>32</v>
      </c>
      <c r="G181" s="19" t="s">
        <v>33</v>
      </c>
      <c r="H181" s="19" t="s">
        <v>34</v>
      </c>
      <c r="I181" s="19" t="s">
        <v>157</v>
      </c>
      <c r="J181" s="19" t="s">
        <v>828</v>
      </c>
      <c r="K181" s="19" t="s">
        <v>318</v>
      </c>
      <c r="L181" s="19" t="s">
        <v>415</v>
      </c>
      <c r="M181" s="19" t="n">
        <v>2020</v>
      </c>
      <c r="N181" s="19" t="n">
        <v>25</v>
      </c>
      <c r="O181" s="19" t="n">
        <v>25</v>
      </c>
      <c r="P181" s="19" t="n">
        <v>41650</v>
      </c>
      <c r="Q181" s="19" t="n">
        <v>41650</v>
      </c>
      <c r="R181" s="19" t="s">
        <v>39</v>
      </c>
      <c r="S181" s="19" t="s">
        <v>40</v>
      </c>
      <c r="T181" s="19" t="s">
        <v>154</v>
      </c>
      <c r="U181" s="19" t="n">
        <v>795700</v>
      </c>
      <c r="V181" s="19" t="n">
        <v>333200</v>
      </c>
      <c r="W181" s="19" t="n">
        <v>162500</v>
      </c>
      <c r="X181" s="19" t="s">
        <v>447</v>
      </c>
      <c r="Y181" s="19" t="n">
        <v>545700</v>
      </c>
      <c r="Z181" s="19" t="n">
        <v>125000</v>
      </c>
      <c r="AA181" s="19" t="n">
        <v>125000</v>
      </c>
      <c r="AB181" s="19" t="n">
        <v>795700</v>
      </c>
      <c r="AC181" s="85" t="n">
        <v>43902</v>
      </c>
      <c r="AD181" s="85" t="n">
        <v>44926</v>
      </c>
      <c r="AE181" s="19" t="n">
        <v>1</v>
      </c>
      <c r="AH181" s="19" t="n">
        <v>795700</v>
      </c>
      <c r="AI181" s="19" t="n">
        <v>0</v>
      </c>
      <c r="AJ181" s="19" t="s">
        <v>375</v>
      </c>
      <c r="AK181" s="85" t="n">
        <v>43896</v>
      </c>
      <c r="AL181" s="85" t="n">
        <v>44889</v>
      </c>
      <c r="AM181" s="19" t="n">
        <v>0.8531</v>
      </c>
      <c r="AR181" s="19" t="s">
        <v>311</v>
      </c>
      <c r="AS181" s="19" t="s">
        <v>317</v>
      </c>
      <c r="AT181" s="19" t="s">
        <v>313</v>
      </c>
      <c r="AV181" s="19" t="n">
        <v>3</v>
      </c>
      <c r="AX181" s="19" t="n">
        <v>3</v>
      </c>
      <c r="AY181" s="19" t="n">
        <v>2025</v>
      </c>
    </row>
    <row r="182" customFormat="false" ht="12.8" hidden="false" customHeight="false" outlineLevel="0" collapsed="false">
      <c r="A182" s="19" t="s">
        <v>29</v>
      </c>
      <c r="B182" s="19" t="s">
        <v>4</v>
      </c>
      <c r="C182" s="19" t="s">
        <v>43</v>
      </c>
      <c r="D182" s="19" t="s">
        <v>44</v>
      </c>
      <c r="E182" s="19" t="s">
        <v>45</v>
      </c>
      <c r="G182" s="19" t="s">
        <v>416</v>
      </c>
      <c r="H182" s="19" t="s">
        <v>47</v>
      </c>
      <c r="I182" s="19" t="s">
        <v>158</v>
      </c>
      <c r="J182" s="19" t="s">
        <v>49</v>
      </c>
      <c r="K182" s="19" t="s">
        <v>50</v>
      </c>
      <c r="L182" s="19" t="s">
        <v>417</v>
      </c>
      <c r="M182" s="19" t="n">
        <v>2020</v>
      </c>
      <c r="N182" s="19" t="n">
        <v>15</v>
      </c>
      <c r="O182" s="19" t="n">
        <v>15</v>
      </c>
      <c r="P182" s="19" t="n">
        <v>15000</v>
      </c>
      <c r="Q182" s="19" t="n">
        <v>15000</v>
      </c>
      <c r="R182" s="19" t="s">
        <v>52</v>
      </c>
      <c r="S182" s="19" t="s">
        <v>52</v>
      </c>
      <c r="T182" s="19" t="s">
        <v>54</v>
      </c>
      <c r="U182" s="19" t="n">
        <v>540000</v>
      </c>
      <c r="V182" s="19" t="n">
        <v>262500</v>
      </c>
      <c r="W182" s="19" t="n">
        <v>97500</v>
      </c>
      <c r="X182" s="19" t="s">
        <v>447</v>
      </c>
      <c r="Y182" s="19" t="n">
        <v>390000</v>
      </c>
      <c r="Z182" s="19" t="n">
        <v>75000</v>
      </c>
      <c r="AA182" s="19" t="n">
        <v>75000</v>
      </c>
      <c r="AB182" s="19" t="n">
        <v>540000</v>
      </c>
      <c r="AC182" s="85" t="n">
        <v>43902</v>
      </c>
      <c r="AD182" s="85" t="n">
        <v>44926</v>
      </c>
      <c r="AE182" s="19" t="n">
        <v>1</v>
      </c>
      <c r="AH182" s="19" t="n">
        <v>540000</v>
      </c>
      <c r="AI182" s="19" t="n">
        <v>0</v>
      </c>
      <c r="AJ182" s="19" t="s">
        <v>375</v>
      </c>
      <c r="AL182" s="85" t="n">
        <v>44860</v>
      </c>
      <c r="AM182" s="19" t="n">
        <v>0.8891</v>
      </c>
      <c r="AR182" s="19" t="s">
        <v>117</v>
      </c>
      <c r="AS182" s="19" t="s">
        <v>117</v>
      </c>
      <c r="AT182" s="19" t="s">
        <v>313</v>
      </c>
      <c r="AV182" s="19" t="n">
        <v>2</v>
      </c>
      <c r="AX182" s="19" t="n">
        <v>2</v>
      </c>
      <c r="AY182" s="19" t="n">
        <v>2025</v>
      </c>
    </row>
    <row r="183" customFormat="false" ht="12.8" hidden="false" customHeight="false" outlineLevel="0" collapsed="false">
      <c r="A183" s="19" t="s">
        <v>29</v>
      </c>
      <c r="B183" s="19" t="s">
        <v>4</v>
      </c>
      <c r="C183" s="19" t="s">
        <v>43</v>
      </c>
      <c r="D183" s="19" t="s">
        <v>44</v>
      </c>
      <c r="E183" s="19" t="s">
        <v>45</v>
      </c>
      <c r="G183" s="19" t="s">
        <v>416</v>
      </c>
      <c r="H183" s="19" t="s">
        <v>47</v>
      </c>
      <c r="I183" s="19" t="s">
        <v>159</v>
      </c>
      <c r="J183" s="19" t="s">
        <v>49</v>
      </c>
      <c r="K183" s="19" t="s">
        <v>50</v>
      </c>
      <c r="L183" s="19" t="s">
        <v>417</v>
      </c>
      <c r="M183" s="19" t="n">
        <v>2020</v>
      </c>
      <c r="N183" s="19" t="n">
        <v>15</v>
      </c>
      <c r="O183" s="19" t="n">
        <v>15</v>
      </c>
      <c r="P183" s="19" t="n">
        <v>15000</v>
      </c>
      <c r="Q183" s="19" t="n">
        <v>15000</v>
      </c>
      <c r="R183" s="19" t="s">
        <v>52</v>
      </c>
      <c r="S183" s="19" t="s">
        <v>52</v>
      </c>
      <c r="T183" s="19" t="s">
        <v>54</v>
      </c>
      <c r="U183" s="19" t="n">
        <v>540000</v>
      </c>
      <c r="V183" s="19" t="n">
        <v>262500</v>
      </c>
      <c r="W183" s="19" t="n">
        <v>97500</v>
      </c>
      <c r="X183" s="19" t="s">
        <v>447</v>
      </c>
      <c r="Y183" s="19" t="n">
        <v>390000</v>
      </c>
      <c r="Z183" s="19" t="n">
        <v>75000</v>
      </c>
      <c r="AA183" s="19" t="n">
        <v>75000</v>
      </c>
      <c r="AB183" s="19" t="n">
        <v>540000</v>
      </c>
      <c r="AC183" s="85" t="n">
        <v>43902</v>
      </c>
      <c r="AD183" s="85" t="n">
        <v>44926</v>
      </c>
      <c r="AE183" s="19" t="n">
        <v>1</v>
      </c>
      <c r="AH183" s="19" t="n">
        <v>540000</v>
      </c>
      <c r="AI183" s="19" t="n">
        <v>0</v>
      </c>
      <c r="AJ183" s="19" t="s">
        <v>375</v>
      </c>
      <c r="AL183" s="85" t="n">
        <v>44861</v>
      </c>
      <c r="AM183" s="19" t="n">
        <v>0.8975</v>
      </c>
      <c r="AR183" s="19" t="s">
        <v>117</v>
      </c>
      <c r="AS183" s="19" t="s">
        <v>117</v>
      </c>
      <c r="AT183" s="19" t="s">
        <v>313</v>
      </c>
      <c r="AV183" s="19" t="n">
        <v>2</v>
      </c>
      <c r="AX183" s="19" t="n">
        <v>2</v>
      </c>
      <c r="AY183" s="19" t="n">
        <v>2025</v>
      </c>
    </row>
    <row r="184" customFormat="false" ht="12.8" hidden="false" customHeight="false" outlineLevel="0" collapsed="false">
      <c r="A184" s="19" t="s">
        <v>29</v>
      </c>
      <c r="B184" s="19" t="s">
        <v>4</v>
      </c>
      <c r="C184" s="19" t="s">
        <v>30</v>
      </c>
      <c r="D184" s="19" t="s">
        <v>72</v>
      </c>
      <c r="E184" s="19" t="s">
        <v>73</v>
      </c>
      <c r="G184" s="19" t="s">
        <v>33</v>
      </c>
      <c r="H184" s="19" t="s">
        <v>34</v>
      </c>
      <c r="I184" s="19" t="s">
        <v>160</v>
      </c>
      <c r="J184" s="19" t="s">
        <v>1007</v>
      </c>
      <c r="K184" s="19" t="s">
        <v>418</v>
      </c>
      <c r="L184" s="19" t="s">
        <v>419</v>
      </c>
      <c r="M184" s="19" t="n">
        <v>2020</v>
      </c>
      <c r="N184" s="19" t="n">
        <v>20</v>
      </c>
      <c r="O184" s="19" t="n">
        <v>20</v>
      </c>
      <c r="P184" s="19" t="n">
        <v>33320</v>
      </c>
      <c r="Q184" s="19" t="n">
        <v>33320</v>
      </c>
      <c r="R184" s="19" t="s">
        <v>39</v>
      </c>
      <c r="S184" s="19" t="s">
        <v>40</v>
      </c>
      <c r="T184" s="19" t="s">
        <v>41</v>
      </c>
      <c r="U184" s="19" t="n">
        <v>636560</v>
      </c>
      <c r="V184" s="19" t="n">
        <v>266560</v>
      </c>
      <c r="W184" s="19" t="n">
        <v>130000</v>
      </c>
      <c r="X184" s="19" t="s">
        <v>447</v>
      </c>
      <c r="Y184" s="19" t="n">
        <v>436560</v>
      </c>
      <c r="Z184" s="19" t="n">
        <v>100000</v>
      </c>
      <c r="AA184" s="19" t="n">
        <v>100000</v>
      </c>
      <c r="AB184" s="19" t="n">
        <v>636560</v>
      </c>
      <c r="AC184" s="85" t="n">
        <v>44035</v>
      </c>
      <c r="AD184" s="85" t="n">
        <v>44926</v>
      </c>
      <c r="AE184" s="19" t="n">
        <v>1</v>
      </c>
      <c r="AH184" s="19" t="n">
        <v>636560</v>
      </c>
      <c r="AI184" s="19" t="n">
        <v>0</v>
      </c>
      <c r="AJ184" s="19" t="s">
        <v>375</v>
      </c>
      <c r="AK184" s="85" t="n">
        <v>44004</v>
      </c>
      <c r="AL184" s="85" t="n">
        <v>44882</v>
      </c>
      <c r="AM184" s="19" t="n">
        <v>0.87</v>
      </c>
      <c r="AR184" s="19" t="s">
        <v>117</v>
      </c>
      <c r="AS184" s="19" t="s">
        <v>117</v>
      </c>
      <c r="AT184" s="19" t="s">
        <v>313</v>
      </c>
      <c r="AV184" s="19" t="n">
        <v>3</v>
      </c>
      <c r="AX184" s="19" t="n">
        <v>3</v>
      </c>
      <c r="AY184" s="19" t="n">
        <v>2025</v>
      </c>
    </row>
    <row r="185" customFormat="false" ht="12.8" hidden="false" customHeight="false" outlineLevel="0" collapsed="false">
      <c r="A185" s="19" t="s">
        <v>29</v>
      </c>
      <c r="B185" s="19" t="s">
        <v>4</v>
      </c>
      <c r="C185" s="19" t="s">
        <v>30</v>
      </c>
      <c r="D185" s="19" t="s">
        <v>151</v>
      </c>
      <c r="E185" s="19" t="s">
        <v>32</v>
      </c>
      <c r="G185" s="19" t="s">
        <v>33</v>
      </c>
      <c r="H185" s="19" t="s">
        <v>47</v>
      </c>
      <c r="I185" s="19" t="s">
        <v>162</v>
      </c>
      <c r="J185" s="19" t="s">
        <v>234</v>
      </c>
      <c r="K185" s="19" t="s">
        <v>383</v>
      </c>
      <c r="L185" s="19" t="s">
        <v>420</v>
      </c>
      <c r="M185" s="19" t="n">
        <v>2020</v>
      </c>
      <c r="N185" s="19" t="n">
        <v>21</v>
      </c>
      <c r="O185" s="19" t="n">
        <v>21</v>
      </c>
      <c r="P185" s="19" t="n">
        <v>21000</v>
      </c>
      <c r="Q185" s="19" t="n">
        <v>21000</v>
      </c>
      <c r="R185" s="19" t="s">
        <v>52</v>
      </c>
      <c r="S185" s="19" t="s">
        <v>53</v>
      </c>
      <c r="T185" s="19" t="s">
        <v>164</v>
      </c>
      <c r="U185" s="19" t="n">
        <v>756000</v>
      </c>
      <c r="V185" s="19" t="n">
        <v>367500</v>
      </c>
      <c r="W185" s="19" t="n">
        <v>136500</v>
      </c>
      <c r="X185" s="19" t="s">
        <v>447</v>
      </c>
      <c r="Y185" s="19" t="n">
        <v>546000</v>
      </c>
      <c r="Z185" s="19" t="n">
        <v>105000</v>
      </c>
      <c r="AA185" s="19" t="n">
        <v>105000</v>
      </c>
      <c r="AB185" s="19" t="n">
        <v>756000</v>
      </c>
      <c r="AC185" s="85" t="n">
        <v>43902</v>
      </c>
      <c r="AD185" s="85" t="n">
        <v>44926</v>
      </c>
      <c r="AE185" s="19" t="n">
        <v>1</v>
      </c>
      <c r="AH185" s="19" t="n">
        <v>756000</v>
      </c>
      <c r="AI185" s="19" t="n">
        <v>0</v>
      </c>
      <c r="AJ185" s="19" t="s">
        <v>375</v>
      </c>
      <c r="AK185" s="85" t="n">
        <v>44004</v>
      </c>
      <c r="AL185" s="85" t="n">
        <v>44880</v>
      </c>
      <c r="AM185" s="19" t="n">
        <v>0.8655</v>
      </c>
      <c r="AR185" s="19" t="s">
        <v>117</v>
      </c>
      <c r="AS185" s="19" t="s">
        <v>117</v>
      </c>
      <c r="AT185" s="19" t="s">
        <v>313</v>
      </c>
      <c r="AV185" s="19" t="n">
        <v>3</v>
      </c>
      <c r="AX185" s="19" t="n">
        <v>3</v>
      </c>
      <c r="AY185" s="19" t="n">
        <v>2025</v>
      </c>
    </row>
    <row r="186" customFormat="false" ht="12.8" hidden="false" customHeight="false" outlineLevel="0" collapsed="false">
      <c r="A186" s="19" t="s">
        <v>29</v>
      </c>
      <c r="B186" s="19" t="s">
        <v>4</v>
      </c>
      <c r="C186" s="19" t="s">
        <v>30</v>
      </c>
      <c r="D186" s="19" t="s">
        <v>151</v>
      </c>
      <c r="E186" s="19" t="s">
        <v>32</v>
      </c>
      <c r="G186" s="19" t="s">
        <v>33</v>
      </c>
      <c r="H186" s="19" t="s">
        <v>47</v>
      </c>
      <c r="I186" s="19" t="s">
        <v>165</v>
      </c>
      <c r="J186" s="19" t="s">
        <v>234</v>
      </c>
      <c r="K186" s="19" t="s">
        <v>383</v>
      </c>
      <c r="L186" s="19" t="s">
        <v>421</v>
      </c>
      <c r="M186" s="19" t="n">
        <v>2020</v>
      </c>
      <c r="N186" s="19" t="n">
        <v>9</v>
      </c>
      <c r="O186" s="19" t="n">
        <v>9</v>
      </c>
      <c r="P186" s="19" t="n">
        <v>15172</v>
      </c>
      <c r="Q186" s="19" t="n">
        <v>15172</v>
      </c>
      <c r="R186" s="19" t="s">
        <v>52</v>
      </c>
      <c r="S186" s="19" t="s">
        <v>53</v>
      </c>
      <c r="T186" s="19" t="s">
        <v>164</v>
      </c>
      <c r="U186" s="19" t="n">
        <v>287876</v>
      </c>
      <c r="V186" s="19" t="n">
        <v>157500</v>
      </c>
      <c r="W186" s="19" t="n">
        <v>58500</v>
      </c>
      <c r="X186" s="19" t="s">
        <v>447</v>
      </c>
      <c r="Y186" s="19" t="n">
        <v>197876</v>
      </c>
      <c r="Z186" s="19" t="n">
        <v>45000</v>
      </c>
      <c r="AA186" s="19" t="n">
        <v>45000</v>
      </c>
      <c r="AB186" s="19" t="n">
        <v>287876</v>
      </c>
      <c r="AC186" s="85" t="n">
        <v>44035</v>
      </c>
      <c r="AD186" s="85" t="n">
        <v>44926</v>
      </c>
      <c r="AE186" s="19" t="n">
        <v>1</v>
      </c>
      <c r="AH186" s="19" t="n">
        <v>287876</v>
      </c>
      <c r="AI186" s="19" t="n">
        <v>0</v>
      </c>
      <c r="AJ186" s="19" t="s">
        <v>375</v>
      </c>
      <c r="AK186" s="85" t="n">
        <v>44004</v>
      </c>
      <c r="AL186" s="85" t="n">
        <v>44881</v>
      </c>
      <c r="AM186" s="19" t="n">
        <v>0.8661</v>
      </c>
      <c r="AN186" s="19" t="s">
        <v>1008</v>
      </c>
      <c r="AO186" s="19" t="s">
        <v>422</v>
      </c>
      <c r="AR186" s="19" t="s">
        <v>117</v>
      </c>
      <c r="AS186" s="19" t="s">
        <v>117</v>
      </c>
      <c r="AT186" s="19" t="s">
        <v>313</v>
      </c>
      <c r="AV186" s="19" t="n">
        <v>2</v>
      </c>
      <c r="AX186" s="19" t="n">
        <v>2</v>
      </c>
      <c r="AY186" s="19" t="n">
        <v>2025</v>
      </c>
    </row>
    <row r="187" customFormat="false" ht="12.8" hidden="false" customHeight="false" outlineLevel="0" collapsed="false">
      <c r="A187" s="19" t="s">
        <v>29</v>
      </c>
      <c r="B187" s="19" t="s">
        <v>4</v>
      </c>
      <c r="C187" s="19" t="s">
        <v>30</v>
      </c>
      <c r="D187" s="19" t="s">
        <v>151</v>
      </c>
      <c r="E187" s="19" t="s">
        <v>32</v>
      </c>
      <c r="G187" s="19" t="s">
        <v>33</v>
      </c>
      <c r="H187" s="19" t="s">
        <v>47</v>
      </c>
      <c r="I187" s="19" t="s">
        <v>166</v>
      </c>
      <c r="J187" s="19" t="s">
        <v>234</v>
      </c>
      <c r="K187" s="19" t="s">
        <v>383</v>
      </c>
      <c r="L187" s="19" t="s">
        <v>421</v>
      </c>
      <c r="M187" s="19" t="n">
        <v>2020</v>
      </c>
      <c r="N187" s="19" t="n">
        <v>20</v>
      </c>
      <c r="O187" s="19" t="n">
        <v>20</v>
      </c>
      <c r="P187" s="19" t="n">
        <v>33320</v>
      </c>
      <c r="Q187" s="19" t="n">
        <v>33320</v>
      </c>
      <c r="R187" s="19" t="s">
        <v>52</v>
      </c>
      <c r="S187" s="19" t="s">
        <v>53</v>
      </c>
      <c r="T187" s="19" t="s">
        <v>164</v>
      </c>
      <c r="U187" s="19" t="n">
        <v>636560</v>
      </c>
      <c r="V187" s="19" t="n">
        <v>350000</v>
      </c>
      <c r="W187" s="19" t="n">
        <v>130000</v>
      </c>
      <c r="X187" s="19" t="s">
        <v>447</v>
      </c>
      <c r="Y187" s="19" t="n">
        <v>436560</v>
      </c>
      <c r="Z187" s="19" t="n">
        <v>100000</v>
      </c>
      <c r="AA187" s="19" t="n">
        <v>100000</v>
      </c>
      <c r="AB187" s="19" t="n">
        <v>636560</v>
      </c>
      <c r="AC187" s="85" t="n">
        <v>44035</v>
      </c>
      <c r="AD187" s="85" t="n">
        <v>44926</v>
      </c>
      <c r="AE187" s="19" t="n">
        <v>1</v>
      </c>
      <c r="AH187" s="19" t="n">
        <v>636560</v>
      </c>
      <c r="AI187" s="19" t="n">
        <v>0</v>
      </c>
      <c r="AJ187" s="19" t="s">
        <v>375</v>
      </c>
      <c r="AK187" s="85" t="n">
        <v>44004</v>
      </c>
      <c r="AL187" s="85" t="n">
        <v>44880</v>
      </c>
      <c r="AM187" s="19" t="n">
        <v>0.8652</v>
      </c>
      <c r="AR187" s="19" t="s">
        <v>117</v>
      </c>
      <c r="AS187" s="19" t="s">
        <v>117</v>
      </c>
      <c r="AT187" s="19" t="s">
        <v>313</v>
      </c>
      <c r="AV187" s="19" t="n">
        <v>3</v>
      </c>
      <c r="AX187" s="19" t="n">
        <v>3</v>
      </c>
      <c r="AY187" s="19" t="n">
        <v>2025</v>
      </c>
    </row>
    <row r="188" customFormat="false" ht="12.8" hidden="false" customHeight="false" outlineLevel="0" collapsed="false">
      <c r="A188" s="19" t="s">
        <v>29</v>
      </c>
      <c r="B188" s="19" t="s">
        <v>4</v>
      </c>
      <c r="C188" s="19" t="s">
        <v>30</v>
      </c>
      <c r="D188" s="19" t="s">
        <v>97</v>
      </c>
      <c r="E188" s="19" t="s">
        <v>79</v>
      </c>
      <c r="G188" s="19" t="s">
        <v>80</v>
      </c>
      <c r="H188" s="19" t="s">
        <v>47</v>
      </c>
      <c r="I188" s="19" t="s">
        <v>167</v>
      </c>
      <c r="J188" s="19" t="s">
        <v>99</v>
      </c>
      <c r="K188" s="19" t="s">
        <v>423</v>
      </c>
      <c r="L188" s="19" t="s">
        <v>424</v>
      </c>
      <c r="M188" s="19" t="n">
        <v>2020</v>
      </c>
      <c r="N188" s="19" t="n">
        <v>25</v>
      </c>
      <c r="O188" s="19" t="n">
        <v>25</v>
      </c>
      <c r="P188" s="19" t="n">
        <v>41650</v>
      </c>
      <c r="Q188" s="19" t="n">
        <v>41650</v>
      </c>
      <c r="R188" s="19" t="s">
        <v>39</v>
      </c>
      <c r="S188" s="19" t="s">
        <v>40</v>
      </c>
      <c r="T188" s="19" t="s">
        <v>41</v>
      </c>
      <c r="U188" s="19" t="n">
        <v>795700</v>
      </c>
      <c r="V188" s="19" t="n">
        <v>333200</v>
      </c>
      <c r="W188" s="19" t="n">
        <v>162500</v>
      </c>
      <c r="X188" s="19" t="s">
        <v>447</v>
      </c>
      <c r="Y188" s="19" t="n">
        <v>545700</v>
      </c>
      <c r="Z188" s="19" t="n">
        <v>125000</v>
      </c>
      <c r="AA188" s="19" t="n">
        <v>125000</v>
      </c>
      <c r="AB188" s="19" t="n">
        <v>795700</v>
      </c>
      <c r="AC188" s="85" t="n">
        <v>43902</v>
      </c>
      <c r="AD188" s="85" t="n">
        <v>44926</v>
      </c>
      <c r="AE188" s="19" t="n">
        <v>1</v>
      </c>
      <c r="AH188" s="19" t="n">
        <v>795700</v>
      </c>
      <c r="AI188" s="19" t="n">
        <v>0</v>
      </c>
      <c r="AJ188" s="19" t="s">
        <v>375</v>
      </c>
      <c r="AK188" s="85" t="n">
        <v>43896</v>
      </c>
      <c r="AL188" s="85" t="n">
        <v>44874</v>
      </c>
      <c r="AM188" s="19" t="n">
        <v>0.8745</v>
      </c>
      <c r="AR188" s="19" t="s">
        <v>117</v>
      </c>
      <c r="AS188" s="19" t="s">
        <v>117</v>
      </c>
      <c r="AT188" s="19" t="s">
        <v>313</v>
      </c>
      <c r="AV188" s="19" t="n">
        <v>3</v>
      </c>
      <c r="AX188" s="19" t="n">
        <v>3</v>
      </c>
      <c r="AY188" s="19" t="n">
        <v>2025</v>
      </c>
    </row>
    <row r="189" customFormat="false" ht="12.8" hidden="false" customHeight="false" outlineLevel="0" collapsed="false">
      <c r="A189" s="19" t="s">
        <v>29</v>
      </c>
      <c r="B189" s="19" t="s">
        <v>4</v>
      </c>
      <c r="C189" s="19" t="s">
        <v>30</v>
      </c>
      <c r="D189" s="19" t="s">
        <v>97</v>
      </c>
      <c r="E189" s="19" t="s">
        <v>79</v>
      </c>
      <c r="G189" s="19" t="s">
        <v>80</v>
      </c>
      <c r="H189" s="19" t="s">
        <v>47</v>
      </c>
      <c r="I189" s="19" t="s">
        <v>169</v>
      </c>
      <c r="J189" s="19" t="s">
        <v>99</v>
      </c>
      <c r="K189" s="19" t="s">
        <v>423</v>
      </c>
      <c r="L189" s="19" t="s">
        <v>424</v>
      </c>
      <c r="M189" s="19" t="n">
        <v>2020</v>
      </c>
      <c r="N189" s="19" t="n">
        <v>25</v>
      </c>
      <c r="O189" s="19" t="n">
        <v>25</v>
      </c>
      <c r="P189" s="19" t="n">
        <v>41650</v>
      </c>
      <c r="Q189" s="19" t="n">
        <v>41650</v>
      </c>
      <c r="R189" s="19" t="s">
        <v>39</v>
      </c>
      <c r="S189" s="19" t="s">
        <v>40</v>
      </c>
      <c r="T189" s="19" t="s">
        <v>41</v>
      </c>
      <c r="U189" s="19" t="n">
        <v>795700</v>
      </c>
      <c r="V189" s="19" t="n">
        <v>333200</v>
      </c>
      <c r="W189" s="19" t="n">
        <v>162500</v>
      </c>
      <c r="X189" s="19" t="s">
        <v>447</v>
      </c>
      <c r="Y189" s="19" t="n">
        <v>545700</v>
      </c>
      <c r="Z189" s="19" t="n">
        <v>125000</v>
      </c>
      <c r="AA189" s="19" t="n">
        <v>125000</v>
      </c>
      <c r="AB189" s="19" t="n">
        <v>795700</v>
      </c>
      <c r="AC189" s="85" t="n">
        <v>43902</v>
      </c>
      <c r="AD189" s="85" t="n">
        <v>44926</v>
      </c>
      <c r="AE189" s="19" t="n">
        <v>1</v>
      </c>
      <c r="AH189" s="19" t="n">
        <v>795700</v>
      </c>
      <c r="AI189" s="19" t="n">
        <v>0</v>
      </c>
      <c r="AJ189" s="19" t="s">
        <v>375</v>
      </c>
      <c r="AK189" s="85" t="n">
        <v>43896</v>
      </c>
      <c r="AL189" s="85" t="n">
        <v>44875</v>
      </c>
      <c r="AM189" s="19" t="n">
        <v>0.8715</v>
      </c>
      <c r="AR189" s="19" t="s">
        <v>117</v>
      </c>
      <c r="AS189" s="19" t="s">
        <v>117</v>
      </c>
      <c r="AT189" s="19" t="s">
        <v>313</v>
      </c>
      <c r="AV189" s="19" t="n">
        <v>3</v>
      </c>
      <c r="AX189" s="19" t="n">
        <v>3</v>
      </c>
      <c r="AY189" s="19" t="n">
        <v>2025</v>
      </c>
    </row>
    <row r="190" customFormat="false" ht="12.8" hidden="false" customHeight="false" outlineLevel="0" collapsed="false">
      <c r="A190" s="19" t="s">
        <v>29</v>
      </c>
      <c r="B190" s="19" t="s">
        <v>4</v>
      </c>
      <c r="C190" s="19" t="s">
        <v>30</v>
      </c>
      <c r="D190" s="19" t="s">
        <v>151</v>
      </c>
      <c r="E190" s="19" t="s">
        <v>32</v>
      </c>
      <c r="G190" s="19" t="s">
        <v>33</v>
      </c>
      <c r="H190" s="19" t="s">
        <v>47</v>
      </c>
      <c r="I190" s="19" t="s">
        <v>170</v>
      </c>
      <c r="J190" s="19" t="s">
        <v>171</v>
      </c>
      <c r="K190" s="19" t="s">
        <v>320</v>
      </c>
      <c r="L190" s="19" t="s">
        <v>425</v>
      </c>
      <c r="M190" s="19" t="n">
        <v>2020</v>
      </c>
      <c r="N190" s="19" t="n">
        <v>25</v>
      </c>
      <c r="O190" s="19" t="n">
        <v>25</v>
      </c>
      <c r="P190" s="19" t="n">
        <v>41650</v>
      </c>
      <c r="Q190" s="19" t="n">
        <v>41650</v>
      </c>
      <c r="R190" s="19" t="s">
        <v>39</v>
      </c>
      <c r="S190" s="19" t="s">
        <v>40</v>
      </c>
      <c r="T190" s="19" t="s">
        <v>41</v>
      </c>
      <c r="U190" s="19" t="n">
        <v>795700</v>
      </c>
      <c r="V190" s="19" t="n">
        <v>333200</v>
      </c>
      <c r="W190" s="19" t="n">
        <v>162500</v>
      </c>
      <c r="X190" s="19" t="s">
        <v>447</v>
      </c>
      <c r="Y190" s="19" t="n">
        <v>545700</v>
      </c>
      <c r="Z190" s="19" t="n">
        <v>125000</v>
      </c>
      <c r="AA190" s="19" t="n">
        <v>125000</v>
      </c>
      <c r="AB190" s="19" t="n">
        <v>795700</v>
      </c>
      <c r="AC190" s="85" t="n">
        <v>43902</v>
      </c>
      <c r="AD190" s="85" t="n">
        <v>44926</v>
      </c>
      <c r="AE190" s="19" t="n">
        <v>1</v>
      </c>
      <c r="AH190" s="19" t="n">
        <v>795700</v>
      </c>
      <c r="AI190" s="19" t="n">
        <v>0</v>
      </c>
      <c r="AJ190" s="19" t="s">
        <v>375</v>
      </c>
      <c r="AK190" s="85" t="n">
        <v>43896</v>
      </c>
      <c r="AL190" s="85" t="n">
        <v>44882</v>
      </c>
      <c r="AM190" s="19" t="n">
        <v>0.8657</v>
      </c>
      <c r="AR190" s="19" t="s">
        <v>117</v>
      </c>
      <c r="AS190" s="19" t="s">
        <v>117</v>
      </c>
      <c r="AT190" s="19" t="s">
        <v>313</v>
      </c>
      <c r="AV190" s="19" t="n">
        <v>3</v>
      </c>
      <c r="AX190" s="19" t="n">
        <v>3</v>
      </c>
      <c r="AY190" s="19" t="n">
        <v>2025</v>
      </c>
    </row>
    <row r="191" customFormat="false" ht="12.8" hidden="false" customHeight="false" outlineLevel="0" collapsed="false">
      <c r="A191" s="19" t="s">
        <v>29</v>
      </c>
      <c r="B191" s="19" t="s">
        <v>4</v>
      </c>
      <c r="C191" s="19" t="s">
        <v>30</v>
      </c>
      <c r="D191" s="19" t="s">
        <v>151</v>
      </c>
      <c r="E191" s="19" t="s">
        <v>32</v>
      </c>
      <c r="G191" s="19" t="s">
        <v>33</v>
      </c>
      <c r="H191" s="19" t="s">
        <v>47</v>
      </c>
      <c r="I191" s="19" t="s">
        <v>172</v>
      </c>
      <c r="J191" s="19" t="s">
        <v>171</v>
      </c>
      <c r="K191" s="19" t="s">
        <v>320</v>
      </c>
      <c r="L191" s="19" t="s">
        <v>425</v>
      </c>
      <c r="M191" s="19" t="n">
        <v>2020</v>
      </c>
      <c r="N191" s="19" t="n">
        <v>25</v>
      </c>
      <c r="O191" s="19" t="n">
        <v>25</v>
      </c>
      <c r="P191" s="19" t="n">
        <v>41650</v>
      </c>
      <c r="Q191" s="19" t="n">
        <v>41650</v>
      </c>
      <c r="R191" s="19" t="s">
        <v>39</v>
      </c>
      <c r="S191" s="19" t="s">
        <v>40</v>
      </c>
      <c r="T191" s="19" t="s">
        <v>41</v>
      </c>
      <c r="U191" s="19" t="n">
        <v>795700</v>
      </c>
      <c r="V191" s="19" t="n">
        <v>333200</v>
      </c>
      <c r="W191" s="19" t="n">
        <v>162500</v>
      </c>
      <c r="X191" s="19" t="s">
        <v>447</v>
      </c>
      <c r="Y191" s="19" t="n">
        <v>545700</v>
      </c>
      <c r="Z191" s="19" t="n">
        <v>125000</v>
      </c>
      <c r="AA191" s="19" t="n">
        <v>125000</v>
      </c>
      <c r="AB191" s="19" t="n">
        <v>795700</v>
      </c>
      <c r="AC191" s="85" t="n">
        <v>43902</v>
      </c>
      <c r="AD191" s="85" t="n">
        <v>44926</v>
      </c>
      <c r="AE191" s="19" t="n">
        <v>1</v>
      </c>
      <c r="AH191" s="19" t="n">
        <v>795700</v>
      </c>
      <c r="AI191" s="19" t="n">
        <v>0</v>
      </c>
      <c r="AJ191" s="19" t="s">
        <v>375</v>
      </c>
      <c r="AK191" s="85" t="n">
        <v>43896</v>
      </c>
      <c r="AL191" s="85" t="n">
        <v>44883</v>
      </c>
      <c r="AM191" s="19" t="n">
        <v>0.875</v>
      </c>
      <c r="AR191" s="19" t="s">
        <v>117</v>
      </c>
      <c r="AS191" s="19" t="s">
        <v>117</v>
      </c>
      <c r="AT191" s="19" t="s">
        <v>313</v>
      </c>
      <c r="AV191" s="19" t="n">
        <v>3</v>
      </c>
      <c r="AX191" s="19" t="n">
        <v>3</v>
      </c>
      <c r="AY191" s="19" t="n">
        <v>2025</v>
      </c>
    </row>
    <row r="192" customFormat="false" ht="12.8" hidden="false" customHeight="false" outlineLevel="0" collapsed="false">
      <c r="A192" s="19" t="s">
        <v>29</v>
      </c>
      <c r="B192" s="19" t="s">
        <v>4</v>
      </c>
      <c r="C192" s="19" t="s">
        <v>30</v>
      </c>
      <c r="D192" s="19" t="s">
        <v>66</v>
      </c>
      <c r="E192" s="19" t="s">
        <v>67</v>
      </c>
      <c r="G192" s="19" t="s">
        <v>33</v>
      </c>
      <c r="H192" s="19" t="s">
        <v>47</v>
      </c>
      <c r="I192" s="19" t="s">
        <v>173</v>
      </c>
      <c r="J192" s="19" t="s">
        <v>69</v>
      </c>
      <c r="K192" s="19" t="s">
        <v>70</v>
      </c>
      <c r="L192" s="19" t="s">
        <v>426</v>
      </c>
      <c r="M192" s="19" t="n">
        <v>2020</v>
      </c>
      <c r="N192" s="19" t="n">
        <v>25</v>
      </c>
      <c r="O192" s="19" t="n">
        <v>25</v>
      </c>
      <c r="P192" s="19" t="n">
        <v>25000</v>
      </c>
      <c r="Q192" s="19" t="n">
        <v>25000</v>
      </c>
      <c r="R192" s="19" t="s">
        <v>52</v>
      </c>
      <c r="S192" s="19" t="s">
        <v>53</v>
      </c>
      <c r="T192" s="19" t="s">
        <v>175</v>
      </c>
      <c r="U192" s="19" t="n">
        <v>900000</v>
      </c>
      <c r="V192" s="19" t="n">
        <v>437500</v>
      </c>
      <c r="W192" s="19" t="n">
        <v>162500</v>
      </c>
      <c r="X192" s="19" t="s">
        <v>447</v>
      </c>
      <c r="Y192" s="19" t="n">
        <v>650000</v>
      </c>
      <c r="Z192" s="19" t="n">
        <v>125000</v>
      </c>
      <c r="AA192" s="19" t="n">
        <v>125000</v>
      </c>
      <c r="AB192" s="19" t="n">
        <v>900000</v>
      </c>
      <c r="AC192" s="85" t="n">
        <v>44035</v>
      </c>
      <c r="AD192" s="85" t="n">
        <v>44926</v>
      </c>
      <c r="AE192" s="19" t="n">
        <v>1</v>
      </c>
      <c r="AH192" s="19" t="n">
        <v>900000</v>
      </c>
      <c r="AI192" s="19" t="n">
        <v>0</v>
      </c>
      <c r="AJ192" s="19" t="s">
        <v>375</v>
      </c>
      <c r="AK192" s="85" t="n">
        <v>43885</v>
      </c>
      <c r="AL192" s="85" t="n">
        <v>44861</v>
      </c>
      <c r="AM192" s="19" t="n">
        <v>0.86</v>
      </c>
      <c r="AR192" s="19" t="s">
        <v>117</v>
      </c>
      <c r="AS192" s="19" t="s">
        <v>117</v>
      </c>
      <c r="AT192" s="19" t="s">
        <v>313</v>
      </c>
      <c r="AV192" s="19" t="n">
        <v>3</v>
      </c>
      <c r="AX192" s="19" t="n">
        <v>3</v>
      </c>
      <c r="AY192" s="19" t="n">
        <v>2025</v>
      </c>
    </row>
    <row r="193" customFormat="false" ht="12.8" hidden="false" customHeight="false" outlineLevel="0" collapsed="false">
      <c r="A193" s="19" t="s">
        <v>29</v>
      </c>
      <c r="B193" s="19" t="s">
        <v>4</v>
      </c>
      <c r="C193" s="19" t="s">
        <v>30</v>
      </c>
      <c r="D193" s="19" t="s">
        <v>66</v>
      </c>
      <c r="E193" s="19" t="s">
        <v>67</v>
      </c>
      <c r="G193" s="19" t="s">
        <v>33</v>
      </c>
      <c r="H193" s="19" t="s">
        <v>47</v>
      </c>
      <c r="I193" s="19" t="s">
        <v>176</v>
      </c>
      <c r="J193" s="19" t="s">
        <v>69</v>
      </c>
      <c r="K193" s="19" t="s">
        <v>70</v>
      </c>
      <c r="L193" s="19" t="s">
        <v>426</v>
      </c>
      <c r="M193" s="19" t="n">
        <v>2020</v>
      </c>
      <c r="N193" s="19" t="n">
        <v>25</v>
      </c>
      <c r="O193" s="19" t="n">
        <v>25</v>
      </c>
      <c r="P193" s="19" t="n">
        <v>41650</v>
      </c>
      <c r="Q193" s="19" t="n">
        <v>41650</v>
      </c>
      <c r="R193" s="19" t="s">
        <v>39</v>
      </c>
      <c r="S193" s="19" t="s">
        <v>40</v>
      </c>
      <c r="T193" s="19" t="s">
        <v>41</v>
      </c>
      <c r="U193" s="19" t="n">
        <v>795700</v>
      </c>
      <c r="V193" s="19" t="n">
        <v>333200</v>
      </c>
      <c r="W193" s="19" t="n">
        <v>162500</v>
      </c>
      <c r="X193" s="19" t="s">
        <v>447</v>
      </c>
      <c r="Y193" s="19" t="n">
        <v>545700</v>
      </c>
      <c r="Z193" s="19" t="n">
        <v>125000</v>
      </c>
      <c r="AA193" s="19" t="n">
        <v>125000</v>
      </c>
      <c r="AB193" s="19" t="n">
        <v>795700</v>
      </c>
      <c r="AC193" s="85" t="n">
        <v>44035</v>
      </c>
      <c r="AD193" s="85" t="n">
        <v>44926</v>
      </c>
      <c r="AE193" s="19" t="n">
        <v>1</v>
      </c>
      <c r="AH193" s="19" t="n">
        <v>795700</v>
      </c>
      <c r="AI193" s="19" t="n">
        <v>0</v>
      </c>
      <c r="AJ193" s="19" t="s">
        <v>375</v>
      </c>
      <c r="AK193" s="85" t="n">
        <v>43885</v>
      </c>
      <c r="AL193" s="85" t="n">
        <v>44861</v>
      </c>
      <c r="AM193" s="19" t="n">
        <v>0.873</v>
      </c>
      <c r="AR193" s="19" t="s">
        <v>117</v>
      </c>
      <c r="AS193" s="19" t="s">
        <v>117</v>
      </c>
      <c r="AT193" s="19" t="s">
        <v>313</v>
      </c>
      <c r="AV193" s="19" t="n">
        <v>3</v>
      </c>
      <c r="AX193" s="19" t="n">
        <v>3</v>
      </c>
      <c r="AY193" s="19" t="n">
        <v>2025</v>
      </c>
    </row>
    <row r="194" customFormat="false" ht="12.8" hidden="false" customHeight="false" outlineLevel="0" collapsed="false">
      <c r="A194" s="19" t="s">
        <v>29</v>
      </c>
      <c r="B194" s="19" t="s">
        <v>4</v>
      </c>
      <c r="C194" s="19" t="s">
        <v>30</v>
      </c>
      <c r="D194" s="19" t="s">
        <v>177</v>
      </c>
      <c r="E194" s="19" t="s">
        <v>178</v>
      </c>
      <c r="G194" s="19" t="s">
        <v>33</v>
      </c>
      <c r="H194" s="19" t="s">
        <v>34</v>
      </c>
      <c r="I194" s="19" t="s">
        <v>179</v>
      </c>
      <c r="J194" s="19" t="s">
        <v>1007</v>
      </c>
      <c r="K194" s="19" t="s">
        <v>418</v>
      </c>
      <c r="L194" s="19" t="s">
        <v>427</v>
      </c>
      <c r="M194" s="19" t="n">
        <v>2020</v>
      </c>
      <c r="N194" s="19" t="n">
        <v>25</v>
      </c>
      <c r="O194" s="19" t="n">
        <v>25</v>
      </c>
      <c r="P194" s="19" t="n">
        <v>41650</v>
      </c>
      <c r="Q194" s="19" t="n">
        <v>41650</v>
      </c>
      <c r="R194" s="19" t="s">
        <v>39</v>
      </c>
      <c r="S194" s="19" t="s">
        <v>40</v>
      </c>
      <c r="T194" s="19" t="s">
        <v>180</v>
      </c>
      <c r="U194" s="19" t="n">
        <v>795700</v>
      </c>
      <c r="V194" s="19" t="n">
        <v>333200</v>
      </c>
      <c r="W194" s="19" t="n">
        <v>162500</v>
      </c>
      <c r="X194" s="19" t="s">
        <v>447</v>
      </c>
      <c r="Y194" s="19" t="n">
        <v>545700</v>
      </c>
      <c r="Z194" s="19" t="n">
        <v>125000</v>
      </c>
      <c r="AA194" s="19" t="n">
        <v>125000</v>
      </c>
      <c r="AB194" s="19" t="n">
        <v>795700</v>
      </c>
      <c r="AC194" s="85" t="n">
        <v>43902</v>
      </c>
      <c r="AD194" s="85" t="n">
        <v>44926</v>
      </c>
      <c r="AE194" s="19" t="n">
        <v>1</v>
      </c>
      <c r="AH194" s="19" t="n">
        <v>795700</v>
      </c>
      <c r="AI194" s="19" t="n">
        <v>0</v>
      </c>
      <c r="AJ194" s="19" t="s">
        <v>375</v>
      </c>
      <c r="AL194" s="85" t="n">
        <v>44888</v>
      </c>
      <c r="AM194" s="19" t="n">
        <v>0.87</v>
      </c>
      <c r="AN194" s="19" t="s">
        <v>464</v>
      </c>
      <c r="AO194" s="19" t="s">
        <v>1009</v>
      </c>
      <c r="AR194" s="19" t="s">
        <v>117</v>
      </c>
      <c r="AS194" s="19" t="s">
        <v>117</v>
      </c>
      <c r="AT194" s="19" t="s">
        <v>313</v>
      </c>
      <c r="AV194" s="19" t="n">
        <v>3</v>
      </c>
      <c r="AX194" s="19" t="n">
        <v>3</v>
      </c>
      <c r="AY194" s="19" t="n">
        <v>2025</v>
      </c>
    </row>
    <row r="195" customFormat="false" ht="12.8" hidden="false" customHeight="false" outlineLevel="0" collapsed="false">
      <c r="A195" s="19" t="s">
        <v>29</v>
      </c>
      <c r="B195" s="19" t="s">
        <v>4</v>
      </c>
      <c r="C195" s="19" t="s">
        <v>30</v>
      </c>
      <c r="D195" s="19" t="s">
        <v>31</v>
      </c>
      <c r="E195" s="19" t="s">
        <v>32</v>
      </c>
      <c r="G195" s="19" t="s">
        <v>33</v>
      </c>
      <c r="H195" s="19" t="s">
        <v>34</v>
      </c>
      <c r="I195" s="19" t="s">
        <v>35</v>
      </c>
      <c r="J195" s="19" t="s">
        <v>36</v>
      </c>
      <c r="K195" s="19" t="s">
        <v>37</v>
      </c>
      <c r="L195" s="19" t="s">
        <v>38</v>
      </c>
      <c r="M195" s="19" t="n">
        <v>2021</v>
      </c>
      <c r="N195" s="19" t="n">
        <v>20</v>
      </c>
      <c r="O195" s="19" t="n">
        <v>20</v>
      </c>
      <c r="P195" s="19" t="n">
        <v>33462</v>
      </c>
      <c r="Q195" s="19" t="n">
        <v>33462</v>
      </c>
      <c r="R195" s="19" t="s">
        <v>39</v>
      </c>
      <c r="S195" s="19" t="s">
        <v>40</v>
      </c>
      <c r="T195" s="19" t="s">
        <v>41</v>
      </c>
      <c r="U195" s="19" t="n">
        <v>637696</v>
      </c>
      <c r="V195" s="19" t="n">
        <v>266880</v>
      </c>
      <c r="W195" s="19" t="n">
        <v>130000</v>
      </c>
      <c r="X195" s="19" t="s">
        <v>1010</v>
      </c>
      <c r="Y195" s="19" t="n">
        <v>437696</v>
      </c>
      <c r="Z195" s="19" t="n">
        <v>100000</v>
      </c>
      <c r="AA195" s="19" t="n">
        <v>100000</v>
      </c>
      <c r="AB195" s="19" t="n">
        <v>637696</v>
      </c>
      <c r="AD195" s="85" t="n">
        <v>45291</v>
      </c>
      <c r="AE195" s="19" t="n">
        <v>1</v>
      </c>
      <c r="AH195" s="19" t="n">
        <v>637696</v>
      </c>
      <c r="AI195" s="19" t="n">
        <v>0</v>
      </c>
      <c r="AJ195" s="19" t="s">
        <v>375</v>
      </c>
      <c r="AL195" s="85" t="n">
        <v>45254</v>
      </c>
      <c r="AM195" s="19" t="n">
        <v>0.8761</v>
      </c>
      <c r="AN195" s="19" t="s">
        <v>429</v>
      </c>
      <c r="AO195" s="19" t="s">
        <v>430</v>
      </c>
      <c r="AR195" s="19" t="s">
        <v>117</v>
      </c>
      <c r="AS195" s="19" t="s">
        <v>117</v>
      </c>
      <c r="AT195" s="19" t="s">
        <v>313</v>
      </c>
      <c r="AV195" s="19" t="n">
        <v>3</v>
      </c>
      <c r="AX195" s="19" t="n">
        <v>3</v>
      </c>
      <c r="AY195" s="19" t="n">
        <v>2025</v>
      </c>
    </row>
    <row r="196" customFormat="false" ht="12.8" hidden="false" customHeight="false" outlineLevel="0" collapsed="false">
      <c r="A196" s="19" t="s">
        <v>29</v>
      </c>
      <c r="B196" s="19" t="s">
        <v>4</v>
      </c>
      <c r="C196" s="19" t="s">
        <v>43</v>
      </c>
      <c r="D196" s="19" t="s">
        <v>44</v>
      </c>
      <c r="E196" s="19" t="s">
        <v>45</v>
      </c>
      <c r="G196" s="19" t="s">
        <v>46</v>
      </c>
      <c r="H196" s="19" t="s">
        <v>47</v>
      </c>
      <c r="I196" s="19" t="s">
        <v>48</v>
      </c>
      <c r="J196" s="19" t="s">
        <v>49</v>
      </c>
      <c r="K196" s="19" t="s">
        <v>50</v>
      </c>
      <c r="L196" s="19" t="s">
        <v>51</v>
      </c>
      <c r="M196" s="19" t="n">
        <v>2021</v>
      </c>
      <c r="N196" s="19" t="n">
        <v>25</v>
      </c>
      <c r="O196" s="19" t="n">
        <v>25</v>
      </c>
      <c r="P196" s="19" t="n">
        <v>12500</v>
      </c>
      <c r="Q196" s="19" t="n">
        <v>12500</v>
      </c>
      <c r="R196" s="19" t="s">
        <v>52</v>
      </c>
      <c r="S196" s="19" t="s">
        <v>53</v>
      </c>
      <c r="T196" s="19" t="s">
        <v>54</v>
      </c>
      <c r="U196" s="19" t="n">
        <v>900000</v>
      </c>
      <c r="V196" s="19" t="n">
        <v>437500</v>
      </c>
      <c r="W196" s="19" t="n">
        <v>162500</v>
      </c>
      <c r="X196" s="19" t="s">
        <v>1011</v>
      </c>
      <c r="Y196" s="19" t="n">
        <v>650000</v>
      </c>
      <c r="Z196" s="19" t="n">
        <v>125000</v>
      </c>
      <c r="AA196" s="19" t="n">
        <v>125000</v>
      </c>
      <c r="AB196" s="19" t="n">
        <v>900000</v>
      </c>
      <c r="AD196" s="85" t="n">
        <v>45291</v>
      </c>
      <c r="AE196" s="19" t="n">
        <v>1</v>
      </c>
      <c r="AH196" s="19" t="n">
        <v>900000</v>
      </c>
      <c r="AI196" s="19" t="n">
        <v>0</v>
      </c>
      <c r="AJ196" s="19" t="s">
        <v>375</v>
      </c>
      <c r="AL196" s="85" t="n">
        <v>45258</v>
      </c>
      <c r="AM196" s="19" t="n">
        <v>0.885</v>
      </c>
      <c r="AR196" s="19" t="s">
        <v>117</v>
      </c>
      <c r="AS196" s="19" t="s">
        <v>117</v>
      </c>
      <c r="AT196" s="19" t="s">
        <v>313</v>
      </c>
      <c r="AV196" s="19" t="n">
        <v>3</v>
      </c>
      <c r="AX196" s="19" t="n">
        <v>3</v>
      </c>
      <c r="AY196" s="19" t="n">
        <v>2025</v>
      </c>
    </row>
    <row r="197" customFormat="false" ht="12.8" hidden="false" customHeight="false" outlineLevel="0" collapsed="false">
      <c r="A197" s="19" t="s">
        <v>29</v>
      </c>
      <c r="B197" s="19" t="s">
        <v>4</v>
      </c>
      <c r="C197" s="19" t="s">
        <v>30</v>
      </c>
      <c r="D197" s="19" t="s">
        <v>55</v>
      </c>
      <c r="E197" s="19" t="s">
        <v>32</v>
      </c>
      <c r="G197" s="19" t="s">
        <v>33</v>
      </c>
      <c r="H197" s="19" t="s">
        <v>47</v>
      </c>
      <c r="I197" s="19" t="s">
        <v>56</v>
      </c>
      <c r="J197" s="19" t="s">
        <v>57</v>
      </c>
      <c r="K197" s="19" t="s">
        <v>58</v>
      </c>
      <c r="L197" s="19" t="s">
        <v>59</v>
      </c>
      <c r="M197" s="19" t="n">
        <v>2021</v>
      </c>
      <c r="N197" s="19" t="n">
        <v>50</v>
      </c>
      <c r="O197" s="19" t="n">
        <v>50</v>
      </c>
      <c r="P197" s="19" t="n">
        <v>25000</v>
      </c>
      <c r="Q197" s="19" t="n">
        <v>25000</v>
      </c>
      <c r="R197" s="19" t="s">
        <v>52</v>
      </c>
      <c r="S197" s="19" t="s">
        <v>53</v>
      </c>
      <c r="T197" s="19" t="s">
        <v>60</v>
      </c>
      <c r="U197" s="19" t="n">
        <v>1800000</v>
      </c>
      <c r="V197" s="19" t="n">
        <v>875000</v>
      </c>
      <c r="W197" s="19" t="n">
        <v>325000</v>
      </c>
      <c r="X197" s="19" t="s">
        <v>1012</v>
      </c>
      <c r="Y197" s="19" t="n">
        <v>1300000</v>
      </c>
      <c r="Z197" s="19" t="n">
        <v>250000</v>
      </c>
      <c r="AA197" s="19" t="n">
        <v>250000</v>
      </c>
      <c r="AB197" s="19" t="n">
        <v>1800000</v>
      </c>
      <c r="AD197" s="85" t="n">
        <v>45291</v>
      </c>
      <c r="AE197" s="19" t="n">
        <v>1</v>
      </c>
      <c r="AH197" s="19" t="n">
        <v>1800000</v>
      </c>
      <c r="AI197" s="19" t="n">
        <v>0</v>
      </c>
      <c r="AJ197" s="19" t="s">
        <v>375</v>
      </c>
      <c r="AL197" s="85" t="n">
        <v>45253</v>
      </c>
      <c r="AM197" s="19" t="n">
        <v>0.87</v>
      </c>
      <c r="AR197" s="19" t="s">
        <v>117</v>
      </c>
      <c r="AS197" s="19" t="s">
        <v>117</v>
      </c>
      <c r="AT197" s="19" t="s">
        <v>313</v>
      </c>
      <c r="AV197" s="19" t="n">
        <v>6</v>
      </c>
      <c r="AX197" s="19" t="n">
        <v>6</v>
      </c>
      <c r="AY197" s="19" t="n">
        <v>2025</v>
      </c>
    </row>
    <row r="198" customFormat="false" ht="12.8" hidden="false" customHeight="false" outlineLevel="0" collapsed="false">
      <c r="A198" s="19" t="s">
        <v>29</v>
      </c>
      <c r="B198" s="19" t="s">
        <v>4</v>
      </c>
      <c r="C198" s="19" t="s">
        <v>30</v>
      </c>
      <c r="D198" s="19" t="s">
        <v>61</v>
      </c>
      <c r="E198" s="19" t="s">
        <v>32</v>
      </c>
      <c r="G198" s="19" t="s">
        <v>33</v>
      </c>
      <c r="H198" s="19" t="s">
        <v>47</v>
      </c>
      <c r="I198" s="19" t="s">
        <v>62</v>
      </c>
      <c r="J198" s="19" t="s">
        <v>63</v>
      </c>
      <c r="K198" s="19" t="s">
        <v>64</v>
      </c>
      <c r="L198" s="19" t="s">
        <v>65</v>
      </c>
      <c r="M198" s="19" t="n">
        <v>2021</v>
      </c>
      <c r="N198" s="19" t="n">
        <v>25</v>
      </c>
      <c r="O198" s="19" t="n">
        <v>25</v>
      </c>
      <c r="P198" s="19" t="n">
        <v>41700</v>
      </c>
      <c r="Q198" s="19" t="n">
        <v>41700</v>
      </c>
      <c r="R198" s="19" t="s">
        <v>39</v>
      </c>
      <c r="S198" s="19" t="s">
        <v>40</v>
      </c>
      <c r="T198" s="19" t="s">
        <v>41</v>
      </c>
      <c r="U198" s="19" t="n">
        <v>796100</v>
      </c>
      <c r="V198" s="19" t="n">
        <v>333600</v>
      </c>
      <c r="W198" s="19" t="n">
        <v>162500</v>
      </c>
      <c r="X198" s="19" t="s">
        <v>1011</v>
      </c>
      <c r="Y198" s="19" t="n">
        <v>546100</v>
      </c>
      <c r="Z198" s="19" t="n">
        <v>125000</v>
      </c>
      <c r="AA198" s="19" t="n">
        <v>125000</v>
      </c>
      <c r="AB198" s="19" t="n">
        <v>796100</v>
      </c>
      <c r="AD198" s="85" t="n">
        <v>45291</v>
      </c>
      <c r="AE198" s="19" t="n">
        <v>1</v>
      </c>
      <c r="AH198" s="19" t="n">
        <v>796100</v>
      </c>
      <c r="AI198" s="19" t="n">
        <v>0</v>
      </c>
      <c r="AJ198" s="19" t="s">
        <v>375</v>
      </c>
      <c r="AL198" s="85" t="n">
        <v>45251</v>
      </c>
      <c r="AM198" s="19" t="n">
        <v>0.8959</v>
      </c>
      <c r="AR198" s="19" t="s">
        <v>117</v>
      </c>
      <c r="AS198" s="19" t="s">
        <v>117</v>
      </c>
      <c r="AT198" s="19" t="s">
        <v>313</v>
      </c>
      <c r="AV198" s="19" t="n">
        <v>3</v>
      </c>
      <c r="AX198" s="19" t="n">
        <v>3</v>
      </c>
      <c r="AY198" s="19" t="n">
        <v>2025</v>
      </c>
    </row>
    <row r="199" customFormat="false" ht="12.8" hidden="false" customHeight="false" outlineLevel="0" collapsed="false">
      <c r="A199" s="19" t="s">
        <v>29</v>
      </c>
      <c r="B199" s="19" t="s">
        <v>4</v>
      </c>
      <c r="C199" s="19" t="s">
        <v>30</v>
      </c>
      <c r="D199" s="19" t="s">
        <v>66</v>
      </c>
      <c r="E199" s="19" t="s">
        <v>67</v>
      </c>
      <c r="G199" s="19" t="s">
        <v>33</v>
      </c>
      <c r="H199" s="19" t="s">
        <v>47</v>
      </c>
      <c r="I199" s="19" t="s">
        <v>68</v>
      </c>
      <c r="J199" s="19" t="s">
        <v>69</v>
      </c>
      <c r="K199" s="19" t="s">
        <v>70</v>
      </c>
      <c r="L199" s="19" t="s">
        <v>71</v>
      </c>
      <c r="M199" s="19" t="n">
        <v>2021</v>
      </c>
      <c r="N199" s="19" t="n">
        <v>30</v>
      </c>
      <c r="O199" s="19" t="n">
        <v>30</v>
      </c>
      <c r="P199" s="19" t="n">
        <v>50040</v>
      </c>
      <c r="Q199" s="19" t="n">
        <v>50040</v>
      </c>
      <c r="R199" s="19" t="s">
        <v>39</v>
      </c>
      <c r="S199" s="19" t="s">
        <v>40</v>
      </c>
      <c r="T199" s="19" t="s">
        <v>41</v>
      </c>
      <c r="U199" s="19" t="n">
        <v>955320</v>
      </c>
      <c r="V199" s="19" t="n">
        <v>400320</v>
      </c>
      <c r="W199" s="19" t="n">
        <v>195000</v>
      </c>
      <c r="X199" s="19" t="s">
        <v>1013</v>
      </c>
      <c r="Y199" s="19" t="n">
        <v>655320</v>
      </c>
      <c r="Z199" s="19" t="n">
        <v>150000</v>
      </c>
      <c r="AA199" s="19" t="n">
        <v>150000</v>
      </c>
      <c r="AB199" s="19" t="n">
        <v>955320</v>
      </c>
      <c r="AD199" s="85" t="n">
        <v>45291</v>
      </c>
      <c r="AE199" s="19" t="n">
        <v>1</v>
      </c>
      <c r="AH199" s="19" t="n">
        <v>955320</v>
      </c>
      <c r="AI199" s="19" t="n">
        <v>0</v>
      </c>
      <c r="AJ199" s="19" t="s">
        <v>375</v>
      </c>
      <c r="AL199" s="85" t="n">
        <v>45259</v>
      </c>
      <c r="AM199" s="19" t="n">
        <v>0.889</v>
      </c>
      <c r="AR199" s="19" t="s">
        <v>117</v>
      </c>
      <c r="AS199" s="19" t="s">
        <v>117</v>
      </c>
      <c r="AT199" s="19" t="s">
        <v>313</v>
      </c>
      <c r="AV199" s="19" t="n">
        <v>4</v>
      </c>
      <c r="AX199" s="19" t="n">
        <v>4</v>
      </c>
      <c r="AY199" s="19" t="n">
        <v>2025</v>
      </c>
    </row>
    <row r="200" customFormat="false" ht="12.8" hidden="false" customHeight="false" outlineLevel="0" collapsed="false">
      <c r="A200" s="19" t="s">
        <v>29</v>
      </c>
      <c r="B200" s="19" t="s">
        <v>4</v>
      </c>
      <c r="C200" s="19" t="s">
        <v>30</v>
      </c>
      <c r="D200" s="19" t="s">
        <v>72</v>
      </c>
      <c r="E200" s="19" t="s">
        <v>73</v>
      </c>
      <c r="G200" s="19" t="s">
        <v>33</v>
      </c>
      <c r="H200" s="19" t="s">
        <v>47</v>
      </c>
      <c r="I200" s="19" t="s">
        <v>74</v>
      </c>
      <c r="J200" s="19" t="s">
        <v>75</v>
      </c>
      <c r="K200" s="19" t="s">
        <v>76</v>
      </c>
      <c r="L200" s="19" t="s">
        <v>77</v>
      </c>
      <c r="M200" s="19" t="n">
        <v>2021</v>
      </c>
      <c r="N200" s="19" t="n">
        <v>25</v>
      </c>
      <c r="O200" s="19" t="n">
        <v>25</v>
      </c>
      <c r="P200" s="19" t="n">
        <v>12500</v>
      </c>
      <c r="Q200" s="19" t="n">
        <v>12500</v>
      </c>
      <c r="R200" s="19" t="s">
        <v>52</v>
      </c>
      <c r="S200" s="19" t="s">
        <v>53</v>
      </c>
      <c r="T200" s="19" t="s">
        <v>60</v>
      </c>
      <c r="U200" s="19" t="n">
        <v>900000</v>
      </c>
      <c r="V200" s="19" t="n">
        <v>437500</v>
      </c>
      <c r="W200" s="19" t="n">
        <v>162500</v>
      </c>
      <c r="X200" s="19" t="s">
        <v>1011</v>
      </c>
      <c r="Y200" s="19" t="n">
        <v>650000</v>
      </c>
      <c r="Z200" s="19" t="n">
        <v>125000</v>
      </c>
      <c r="AA200" s="19" t="n">
        <v>125000</v>
      </c>
      <c r="AB200" s="19" t="n">
        <v>900000</v>
      </c>
      <c r="AD200" s="85" t="n">
        <v>45291</v>
      </c>
      <c r="AE200" s="19" t="n">
        <v>1</v>
      </c>
      <c r="AH200" s="19" t="n">
        <v>900000</v>
      </c>
      <c r="AI200" s="19" t="n">
        <v>0</v>
      </c>
      <c r="AJ200" s="19" t="s">
        <v>375</v>
      </c>
      <c r="AL200" s="85" t="n">
        <v>45252</v>
      </c>
      <c r="AM200" s="19" t="n">
        <v>0.865</v>
      </c>
      <c r="AR200" s="19" t="s">
        <v>117</v>
      </c>
      <c r="AS200" s="19" t="s">
        <v>117</v>
      </c>
      <c r="AT200" s="19" t="s">
        <v>313</v>
      </c>
      <c r="AV200" s="19" t="n">
        <v>3</v>
      </c>
      <c r="AX200" s="19" t="n">
        <v>3</v>
      </c>
      <c r="AY200" s="19" t="n">
        <v>2025</v>
      </c>
    </row>
    <row r="201" customFormat="false" ht="12.8" hidden="false" customHeight="false" outlineLevel="0" collapsed="false">
      <c r="A201" s="19" t="s">
        <v>29</v>
      </c>
      <c r="B201" s="19" t="s">
        <v>4</v>
      </c>
      <c r="C201" s="19" t="s">
        <v>30</v>
      </c>
      <c r="D201" s="19" t="s">
        <v>78</v>
      </c>
      <c r="E201" s="19" t="s">
        <v>79</v>
      </c>
      <c r="G201" s="19" t="s">
        <v>80</v>
      </c>
      <c r="H201" s="19" t="s">
        <v>47</v>
      </c>
      <c r="I201" s="19" t="s">
        <v>81</v>
      </c>
      <c r="J201" s="19" t="s">
        <v>82</v>
      </c>
      <c r="K201" s="19" t="s">
        <v>83</v>
      </c>
      <c r="L201" s="19" t="s">
        <v>84</v>
      </c>
      <c r="M201" s="19" t="n">
        <v>2021</v>
      </c>
      <c r="N201" s="19" t="n">
        <v>29</v>
      </c>
      <c r="O201" s="19" t="n">
        <v>29</v>
      </c>
      <c r="P201" s="19" t="n">
        <v>48372</v>
      </c>
      <c r="Q201" s="19" t="n">
        <v>48372</v>
      </c>
      <c r="R201" s="19" t="s">
        <v>39</v>
      </c>
      <c r="S201" s="19" t="s">
        <v>40</v>
      </c>
      <c r="T201" s="19" t="s">
        <v>41</v>
      </c>
      <c r="U201" s="19" t="n">
        <v>923476</v>
      </c>
      <c r="V201" s="19" t="n">
        <v>386976</v>
      </c>
      <c r="W201" s="19" t="n">
        <v>188500</v>
      </c>
      <c r="X201" s="19" t="s">
        <v>1014</v>
      </c>
      <c r="Y201" s="19" t="n">
        <v>633476</v>
      </c>
      <c r="Z201" s="19" t="n">
        <v>145000</v>
      </c>
      <c r="AA201" s="19" t="n">
        <v>145000</v>
      </c>
      <c r="AB201" s="19" t="n">
        <v>923476</v>
      </c>
      <c r="AD201" s="85" t="n">
        <v>45291</v>
      </c>
      <c r="AE201" s="19" t="n">
        <v>1</v>
      </c>
      <c r="AH201" s="19" t="n">
        <v>778476</v>
      </c>
      <c r="AI201" s="19" t="n">
        <v>0</v>
      </c>
      <c r="AJ201" s="19" t="s">
        <v>375</v>
      </c>
      <c r="AL201" s="85" t="n">
        <v>45267</v>
      </c>
      <c r="AM201" s="19" t="n">
        <v>0.8704</v>
      </c>
      <c r="AR201" s="19" t="s">
        <v>117</v>
      </c>
      <c r="AS201" s="19" t="s">
        <v>117</v>
      </c>
      <c r="AT201" s="19" t="s">
        <v>313</v>
      </c>
      <c r="AV201" s="19" t="n">
        <v>4</v>
      </c>
      <c r="AX201" s="19" t="n">
        <v>4</v>
      </c>
      <c r="AY201" s="19" t="n">
        <v>2025</v>
      </c>
    </row>
    <row r="202" customFormat="false" ht="12.8" hidden="false" customHeight="false" outlineLevel="0" collapsed="false">
      <c r="A202" s="19" t="s">
        <v>29</v>
      </c>
      <c r="B202" s="19" t="s">
        <v>4</v>
      </c>
      <c r="C202" s="19" t="s">
        <v>30</v>
      </c>
      <c r="D202" s="19" t="s">
        <v>85</v>
      </c>
      <c r="E202" s="19" t="s">
        <v>73</v>
      </c>
      <c r="G202" s="19" t="s">
        <v>33</v>
      </c>
      <c r="H202" s="19" t="s">
        <v>47</v>
      </c>
      <c r="I202" s="19" t="s">
        <v>86</v>
      </c>
      <c r="J202" s="19" t="s">
        <v>87</v>
      </c>
      <c r="K202" s="19" t="s">
        <v>88</v>
      </c>
      <c r="L202" s="19" t="s">
        <v>89</v>
      </c>
      <c r="M202" s="19" t="n">
        <v>2021</v>
      </c>
      <c r="N202" s="19" t="n">
        <v>25</v>
      </c>
      <c r="O202" s="19" t="n">
        <v>25</v>
      </c>
      <c r="P202" s="19" t="n">
        <v>41700</v>
      </c>
      <c r="Q202" s="19" t="n">
        <v>41700</v>
      </c>
      <c r="R202" s="19" t="s">
        <v>39</v>
      </c>
      <c r="S202" s="19" t="s">
        <v>40</v>
      </c>
      <c r="T202" s="19" t="s">
        <v>41</v>
      </c>
      <c r="U202" s="19" t="n">
        <v>796100</v>
      </c>
      <c r="V202" s="19" t="n">
        <v>333600</v>
      </c>
      <c r="W202" s="19" t="n">
        <v>162500</v>
      </c>
      <c r="X202" s="19" t="s">
        <v>1011</v>
      </c>
      <c r="Y202" s="19" t="n">
        <v>546100</v>
      </c>
      <c r="Z202" s="19" t="n">
        <v>125000</v>
      </c>
      <c r="AA202" s="19" t="n">
        <v>125000</v>
      </c>
      <c r="AB202" s="19" t="n">
        <v>796100</v>
      </c>
      <c r="AD202" s="85" t="n">
        <v>45291</v>
      </c>
      <c r="AE202" s="19" t="n">
        <v>1</v>
      </c>
      <c r="AH202" s="19" t="n">
        <v>796100</v>
      </c>
      <c r="AI202" s="19" t="n">
        <v>0</v>
      </c>
      <c r="AJ202" s="19" t="s">
        <v>375</v>
      </c>
      <c r="AL202" s="85" t="n">
        <v>45251</v>
      </c>
      <c r="AM202" s="19" t="n">
        <v>0.89</v>
      </c>
      <c r="AR202" s="19" t="s">
        <v>117</v>
      </c>
      <c r="AS202" s="19" t="s">
        <v>117</v>
      </c>
      <c r="AT202" s="19" t="s">
        <v>313</v>
      </c>
      <c r="AV202" s="19" t="n">
        <v>3</v>
      </c>
      <c r="AX202" s="19" t="n">
        <v>3</v>
      </c>
      <c r="AY202" s="19" t="n">
        <v>2025</v>
      </c>
    </row>
    <row r="203" customFormat="false" ht="12.8" hidden="false" customHeight="false" outlineLevel="0" collapsed="false">
      <c r="A203" s="19" t="s">
        <v>29</v>
      </c>
      <c r="B203" s="19" t="s">
        <v>4</v>
      </c>
      <c r="C203" s="19" t="s">
        <v>30</v>
      </c>
      <c r="D203" s="19" t="s">
        <v>55</v>
      </c>
      <c r="E203" s="19" t="s">
        <v>32</v>
      </c>
      <c r="F203" s="19" t="s">
        <v>90</v>
      </c>
      <c r="G203" s="19" t="s">
        <v>33</v>
      </c>
      <c r="H203" s="19" t="s">
        <v>34</v>
      </c>
      <c r="I203" s="19" t="s">
        <v>91</v>
      </c>
      <c r="J203" s="19" t="s">
        <v>57</v>
      </c>
      <c r="K203" s="19" t="s">
        <v>58</v>
      </c>
      <c r="L203" s="19" t="s">
        <v>92</v>
      </c>
      <c r="M203" s="19" t="n">
        <v>2022</v>
      </c>
      <c r="N203" s="19" t="n">
        <v>20</v>
      </c>
      <c r="O203" s="19" t="n">
        <v>20</v>
      </c>
      <c r="P203" s="19" t="n">
        <v>10000</v>
      </c>
      <c r="Q203" s="19" t="n">
        <v>10000</v>
      </c>
      <c r="R203" s="19" t="s">
        <v>52</v>
      </c>
      <c r="S203" s="19" t="s">
        <v>93</v>
      </c>
      <c r="T203" s="19" t="s">
        <v>94</v>
      </c>
      <c r="U203" s="19" t="n">
        <v>720000</v>
      </c>
      <c r="V203" s="19" t="n">
        <v>350000</v>
      </c>
      <c r="W203" s="19" t="n">
        <v>130000</v>
      </c>
      <c r="X203" s="19" t="s">
        <v>1010</v>
      </c>
      <c r="Y203" s="19" t="n">
        <v>520000</v>
      </c>
      <c r="Z203" s="19" t="n">
        <v>100000</v>
      </c>
      <c r="AA203" s="19" t="n">
        <v>100000</v>
      </c>
      <c r="AB203" s="19" t="n">
        <v>520000</v>
      </c>
      <c r="AC203" s="85" t="n">
        <v>44645</v>
      </c>
      <c r="AD203" s="85" t="n">
        <v>45657</v>
      </c>
      <c r="AE203" s="19" t="n">
        <v>1</v>
      </c>
      <c r="AH203" s="19" t="n">
        <v>520000</v>
      </c>
      <c r="AI203" s="19" t="n">
        <v>0</v>
      </c>
      <c r="AJ203" s="19" t="s">
        <v>375</v>
      </c>
      <c r="AL203" s="85" t="n">
        <v>45623</v>
      </c>
      <c r="AM203" s="19" t="n">
        <v>0.862</v>
      </c>
      <c r="AN203" s="19" t="s">
        <v>1015</v>
      </c>
      <c r="AO203" s="19" t="s">
        <v>431</v>
      </c>
      <c r="AR203" s="19" t="s">
        <v>117</v>
      </c>
      <c r="AS203" s="19" t="s">
        <v>117</v>
      </c>
      <c r="AT203" s="19" t="s">
        <v>313</v>
      </c>
      <c r="AV203" s="19" t="n">
        <v>3</v>
      </c>
    </row>
    <row r="204" customFormat="false" ht="12.8" hidden="false" customHeight="false" outlineLevel="0" collapsed="false">
      <c r="A204" s="19" t="s">
        <v>29</v>
      </c>
      <c r="B204" s="19" t="s">
        <v>4</v>
      </c>
      <c r="C204" s="19" t="s">
        <v>30</v>
      </c>
      <c r="D204" s="19" t="s">
        <v>61</v>
      </c>
      <c r="E204" s="19" t="s">
        <v>32</v>
      </c>
      <c r="F204" s="19" t="s">
        <v>90</v>
      </c>
      <c r="G204" s="19" t="s">
        <v>33</v>
      </c>
      <c r="H204" s="19" t="s">
        <v>47</v>
      </c>
      <c r="I204" s="19" t="s">
        <v>95</v>
      </c>
      <c r="J204" s="19" t="s">
        <v>63</v>
      </c>
      <c r="K204" s="19" t="s">
        <v>64</v>
      </c>
      <c r="L204" s="19" t="s">
        <v>96</v>
      </c>
      <c r="M204" s="19" t="n">
        <v>2022</v>
      </c>
      <c r="N204" s="19" t="n">
        <v>38</v>
      </c>
      <c r="O204" s="19" t="n">
        <v>38</v>
      </c>
      <c r="P204" s="19" t="n">
        <v>19000</v>
      </c>
      <c r="Q204" s="19" t="n">
        <v>19000</v>
      </c>
      <c r="R204" s="19" t="s">
        <v>52</v>
      </c>
      <c r="S204" s="19" t="s">
        <v>93</v>
      </c>
      <c r="T204" s="19" t="s">
        <v>94</v>
      </c>
      <c r="U204" s="19" t="n">
        <v>1368000</v>
      </c>
      <c r="V204" s="19" t="n">
        <v>665000</v>
      </c>
      <c r="W204" s="19" t="n">
        <v>247000</v>
      </c>
      <c r="X204" s="19" t="s">
        <v>1016</v>
      </c>
      <c r="Y204" s="19" t="n">
        <v>988000</v>
      </c>
      <c r="Z204" s="19" t="n">
        <v>190000</v>
      </c>
      <c r="AA204" s="19" t="n">
        <v>190000</v>
      </c>
      <c r="AB204" s="19" t="n">
        <v>988000</v>
      </c>
      <c r="AC204" s="85" t="n">
        <v>44645</v>
      </c>
      <c r="AD204" s="85" t="n">
        <v>45657</v>
      </c>
      <c r="AE204" s="19" t="n">
        <v>1</v>
      </c>
      <c r="AH204" s="19" t="n">
        <v>988000</v>
      </c>
      <c r="AI204" s="19" t="n">
        <v>0</v>
      </c>
      <c r="AJ204" s="19" t="s">
        <v>375</v>
      </c>
      <c r="AL204" s="85" t="n">
        <v>45617</v>
      </c>
      <c r="AM204" s="19" t="n">
        <v>0.8752</v>
      </c>
      <c r="AR204" s="19" t="s">
        <v>117</v>
      </c>
      <c r="AS204" s="19" t="s">
        <v>117</v>
      </c>
      <c r="AT204" s="19" t="s">
        <v>313</v>
      </c>
      <c r="AV204" s="19" t="n">
        <v>5</v>
      </c>
    </row>
    <row r="205" customFormat="false" ht="12.8" hidden="false" customHeight="false" outlineLevel="0" collapsed="false">
      <c r="A205" s="19" t="s">
        <v>29</v>
      </c>
      <c r="B205" s="19" t="s">
        <v>4</v>
      </c>
      <c r="C205" s="19" t="s">
        <v>30</v>
      </c>
      <c r="D205" s="19" t="s">
        <v>97</v>
      </c>
      <c r="E205" s="19" t="s">
        <v>79</v>
      </c>
      <c r="F205" s="19" t="s">
        <v>90</v>
      </c>
      <c r="G205" s="19" t="s">
        <v>80</v>
      </c>
      <c r="H205" s="19" t="s">
        <v>47</v>
      </c>
      <c r="I205" s="19" t="s">
        <v>98</v>
      </c>
      <c r="J205" s="19" t="s">
        <v>99</v>
      </c>
      <c r="K205" s="19" t="s">
        <v>100</v>
      </c>
      <c r="L205" s="19" t="s">
        <v>101</v>
      </c>
      <c r="M205" s="19" t="n">
        <v>2022</v>
      </c>
      <c r="N205" s="19" t="n">
        <v>10</v>
      </c>
      <c r="O205" s="19" t="n">
        <v>10</v>
      </c>
      <c r="P205" s="19" t="n">
        <v>5000</v>
      </c>
      <c r="Q205" s="19" t="n">
        <v>5000</v>
      </c>
      <c r="R205" s="19" t="s">
        <v>52</v>
      </c>
      <c r="S205" s="19" t="s">
        <v>93</v>
      </c>
      <c r="T205" s="19" t="s">
        <v>94</v>
      </c>
      <c r="U205" s="19" t="n">
        <v>260000</v>
      </c>
      <c r="V205" s="19" t="n">
        <v>175000</v>
      </c>
      <c r="W205" s="19" t="n">
        <v>65000</v>
      </c>
      <c r="X205" s="19" t="s">
        <v>1017</v>
      </c>
      <c r="Y205" s="19" t="n">
        <v>260000</v>
      </c>
      <c r="Z205" s="19" t="n">
        <v>50000</v>
      </c>
      <c r="AA205" s="19" t="n">
        <v>60000</v>
      </c>
      <c r="AB205" s="19" t="n">
        <v>260000</v>
      </c>
      <c r="AC205" s="85" t="n">
        <v>44645</v>
      </c>
      <c r="AD205" s="85" t="n">
        <v>45657</v>
      </c>
      <c r="AE205" s="19" t="n">
        <v>1</v>
      </c>
      <c r="AH205" s="19" t="n">
        <v>310000</v>
      </c>
      <c r="AI205" s="19" t="n">
        <v>0</v>
      </c>
      <c r="AJ205" s="19" t="s">
        <v>375</v>
      </c>
      <c r="AL205" s="85" t="n">
        <v>45624</v>
      </c>
      <c r="AM205" s="19" t="n">
        <v>0.8664</v>
      </c>
      <c r="AR205" s="19" t="s">
        <v>117</v>
      </c>
      <c r="AS205" s="19" t="s">
        <v>117</v>
      </c>
      <c r="AT205" s="19" t="s">
        <v>313</v>
      </c>
      <c r="AV205" s="19" t="n">
        <v>2</v>
      </c>
    </row>
    <row r="206" customFormat="false" ht="12.8" hidden="false" customHeight="false" outlineLevel="0" collapsed="false">
      <c r="A206" s="19" t="s">
        <v>29</v>
      </c>
      <c r="B206" s="19" t="s">
        <v>4</v>
      </c>
      <c r="C206" s="19" t="s">
        <v>43</v>
      </c>
      <c r="D206" s="19" t="s">
        <v>44</v>
      </c>
      <c r="E206" s="19" t="s">
        <v>45</v>
      </c>
      <c r="F206" s="19" t="s">
        <v>90</v>
      </c>
      <c r="G206" s="19" t="s">
        <v>80</v>
      </c>
      <c r="H206" s="19" t="s">
        <v>47</v>
      </c>
      <c r="I206" s="19" t="s">
        <v>102</v>
      </c>
      <c r="J206" s="19" t="s">
        <v>49</v>
      </c>
      <c r="K206" s="19" t="s">
        <v>50</v>
      </c>
      <c r="L206" s="19" t="s">
        <v>103</v>
      </c>
      <c r="M206" s="19" t="n">
        <v>2022</v>
      </c>
      <c r="N206" s="19" t="n">
        <v>10</v>
      </c>
      <c r="O206" s="19" t="n">
        <v>10</v>
      </c>
      <c r="P206" s="19" t="n">
        <v>5000</v>
      </c>
      <c r="Q206" s="19" t="n">
        <v>5000</v>
      </c>
      <c r="R206" s="19" t="s">
        <v>52</v>
      </c>
      <c r="S206" s="19" t="s">
        <v>93</v>
      </c>
      <c r="T206" s="19" t="s">
        <v>94</v>
      </c>
      <c r="U206" s="19" t="n">
        <v>260000</v>
      </c>
      <c r="V206" s="19" t="n">
        <v>175000</v>
      </c>
      <c r="W206" s="19" t="n">
        <v>65000</v>
      </c>
      <c r="X206" s="19" t="s">
        <v>1017</v>
      </c>
      <c r="Y206" s="19" t="n">
        <v>260000</v>
      </c>
      <c r="Z206" s="19" t="n">
        <v>50000</v>
      </c>
      <c r="AA206" s="19" t="n">
        <v>60000</v>
      </c>
      <c r="AB206" s="19" t="n">
        <v>260000</v>
      </c>
      <c r="AC206" s="85" t="n">
        <v>44645</v>
      </c>
      <c r="AD206" s="85" t="n">
        <v>45657</v>
      </c>
      <c r="AE206" s="19" t="n">
        <v>1</v>
      </c>
      <c r="AH206" s="19" t="n">
        <v>260000</v>
      </c>
      <c r="AI206" s="19" t="n">
        <v>0</v>
      </c>
      <c r="AJ206" s="19" t="s">
        <v>375</v>
      </c>
      <c r="AL206" s="85" t="n">
        <v>45623</v>
      </c>
      <c r="AM206" s="19" t="n">
        <v>0.8978</v>
      </c>
      <c r="AR206" s="19" t="s">
        <v>117</v>
      </c>
      <c r="AS206" s="19" t="s">
        <v>117</v>
      </c>
      <c r="AT206" s="19" t="s">
        <v>313</v>
      </c>
      <c r="AV206" s="19" t="n">
        <v>2</v>
      </c>
    </row>
    <row r="207" customFormat="false" ht="12.8" hidden="false" customHeight="false" outlineLevel="0" collapsed="false">
      <c r="A207" s="19" t="s">
        <v>29</v>
      </c>
      <c r="B207" s="19" t="s">
        <v>4</v>
      </c>
      <c r="C207" s="19" t="s">
        <v>43</v>
      </c>
      <c r="D207" s="19" t="s">
        <v>107</v>
      </c>
      <c r="E207" s="19" t="s">
        <v>45</v>
      </c>
      <c r="F207" s="19" t="s">
        <v>108</v>
      </c>
      <c r="G207" s="19" t="s">
        <v>109</v>
      </c>
      <c r="H207" s="19" t="s">
        <v>47</v>
      </c>
      <c r="I207" s="19" t="s">
        <v>110</v>
      </c>
      <c r="J207" s="19" t="s">
        <v>111</v>
      </c>
      <c r="K207" s="19" t="s">
        <v>112</v>
      </c>
      <c r="L207" s="19" t="s">
        <v>113</v>
      </c>
      <c r="M207" s="19" t="n">
        <v>2023</v>
      </c>
      <c r="N207" s="19" t="n">
        <v>50</v>
      </c>
      <c r="O207" s="19" t="n">
        <v>50</v>
      </c>
      <c r="P207" s="19" t="n">
        <v>60040</v>
      </c>
      <c r="Q207" s="19" t="n">
        <v>60040</v>
      </c>
      <c r="R207" s="19" t="s">
        <v>52</v>
      </c>
      <c r="S207" s="19" t="s">
        <v>114</v>
      </c>
      <c r="T207" s="19" t="s">
        <v>115</v>
      </c>
      <c r="U207" s="19" t="n">
        <v>1825000</v>
      </c>
      <c r="V207" s="19" t="n">
        <v>750000</v>
      </c>
      <c r="W207" s="19" t="n">
        <v>325000</v>
      </c>
      <c r="X207" s="19" t="s">
        <v>1012</v>
      </c>
      <c r="Y207" s="19" t="n">
        <v>1225000</v>
      </c>
      <c r="Z207" s="19" t="n">
        <v>300000</v>
      </c>
      <c r="AA207" s="19" t="n">
        <v>300000</v>
      </c>
      <c r="AD207" s="85" t="n">
        <v>46021</v>
      </c>
      <c r="AE207" s="19" t="n">
        <v>1</v>
      </c>
      <c r="AL207" s="85" t="n">
        <v>45982</v>
      </c>
      <c r="AM207" s="19" t="n">
        <v>0.8624</v>
      </c>
      <c r="AT207" s="19" t="s">
        <v>407</v>
      </c>
      <c r="AU207" s="19" t="s">
        <v>1018</v>
      </c>
      <c r="AV207" s="19" t="n">
        <v>6</v>
      </c>
    </row>
    <row r="208" customFormat="false" ht="12.8" hidden="false" customHeight="false" outlineLevel="0" collapsed="false">
      <c r="A208" s="19" t="s">
        <v>29</v>
      </c>
      <c r="B208" s="19" t="s">
        <v>4</v>
      </c>
      <c r="C208" s="19" t="s">
        <v>30</v>
      </c>
      <c r="D208" s="19" t="s">
        <v>85</v>
      </c>
      <c r="E208" s="19" t="s">
        <v>73</v>
      </c>
      <c r="G208" s="19" t="s">
        <v>33</v>
      </c>
      <c r="H208" s="19" t="s">
        <v>34</v>
      </c>
      <c r="I208" s="19" t="s">
        <v>1019</v>
      </c>
      <c r="J208" s="19" t="s">
        <v>1020</v>
      </c>
      <c r="K208" s="19" t="s">
        <v>1021</v>
      </c>
      <c r="L208" s="19" t="s">
        <v>1022</v>
      </c>
      <c r="M208" s="19" t="n">
        <v>2024</v>
      </c>
      <c r="N208" s="19" t="n">
        <v>20</v>
      </c>
      <c r="O208" s="19" t="n">
        <v>20</v>
      </c>
      <c r="P208" s="19" t="n">
        <v>33320</v>
      </c>
      <c r="Q208" s="19" t="n">
        <v>33320</v>
      </c>
      <c r="R208" s="19" t="s">
        <v>39</v>
      </c>
      <c r="S208" s="19" t="s">
        <v>40</v>
      </c>
      <c r="T208" s="19" t="s">
        <v>41</v>
      </c>
      <c r="V208" s="19" t="n">
        <v>266500</v>
      </c>
      <c r="W208" s="19" t="n">
        <v>130000</v>
      </c>
      <c r="X208" s="19" t="s">
        <v>1010</v>
      </c>
      <c r="Y208" s="19" t="n">
        <v>456500</v>
      </c>
      <c r="Z208" s="19" t="n">
        <v>210000</v>
      </c>
      <c r="AA208" s="19" t="n">
        <v>120000</v>
      </c>
      <c r="AE208" s="19" t="n">
        <v>1</v>
      </c>
      <c r="AL208" s="85" t="n">
        <v>45981</v>
      </c>
      <c r="AM208" s="19" t="n">
        <v>0.875</v>
      </c>
      <c r="AT208" s="19" t="s">
        <v>407</v>
      </c>
      <c r="AV208" s="19" t="n">
        <v>3</v>
      </c>
      <c r="BG208" s="19" t="s">
        <v>1023</v>
      </c>
    </row>
    <row r="209" customFormat="false" ht="12.8" hidden="false" customHeight="false" outlineLevel="0" collapsed="false">
      <c r="A209" s="19" t="s">
        <v>29</v>
      </c>
      <c r="B209" s="19" t="s">
        <v>4</v>
      </c>
      <c r="C209" s="19" t="s">
        <v>30</v>
      </c>
      <c r="D209" s="19" t="s">
        <v>85</v>
      </c>
      <c r="E209" s="19" t="s">
        <v>73</v>
      </c>
      <c r="G209" s="19" t="s">
        <v>33</v>
      </c>
      <c r="H209" s="19" t="s">
        <v>34</v>
      </c>
      <c r="I209" s="19" t="s">
        <v>1024</v>
      </c>
      <c r="J209" s="19" t="s">
        <v>1020</v>
      </c>
      <c r="K209" s="19" t="s">
        <v>1021</v>
      </c>
      <c r="L209" s="19" t="s">
        <v>1022</v>
      </c>
      <c r="M209" s="19" t="n">
        <v>2024</v>
      </c>
      <c r="N209" s="19" t="n">
        <v>20</v>
      </c>
      <c r="O209" s="19" t="n">
        <v>20</v>
      </c>
      <c r="P209" s="19" t="n">
        <v>33320</v>
      </c>
      <c r="Q209" s="19" t="n">
        <v>33320</v>
      </c>
      <c r="R209" s="19" t="s">
        <v>39</v>
      </c>
      <c r="S209" s="19" t="s">
        <v>40</v>
      </c>
      <c r="T209" s="19" t="s">
        <v>41</v>
      </c>
      <c r="V209" s="19" t="n">
        <v>266500</v>
      </c>
      <c r="W209" s="19" t="n">
        <v>130000</v>
      </c>
      <c r="X209" s="19" t="s">
        <v>1010</v>
      </c>
      <c r="Y209" s="19" t="n">
        <v>456500</v>
      </c>
      <c r="Z209" s="19" t="n">
        <v>210000</v>
      </c>
      <c r="AA209" s="19" t="n">
        <v>120000</v>
      </c>
      <c r="AE209" s="19" t="n">
        <v>1</v>
      </c>
      <c r="AL209" s="85" t="n">
        <v>45981</v>
      </c>
      <c r="AM209" s="19" t="n">
        <v>0.875</v>
      </c>
      <c r="AT209" s="19" t="s">
        <v>407</v>
      </c>
      <c r="AV209" s="19" t="n">
        <v>3</v>
      </c>
      <c r="BG209" s="19" t="s">
        <v>1023</v>
      </c>
    </row>
    <row r="210" customFormat="false" ht="12.8" hidden="false" customHeight="false" outlineLevel="0" collapsed="false">
      <c r="A210" s="19" t="s">
        <v>29</v>
      </c>
      <c r="B210" s="19" t="s">
        <v>4</v>
      </c>
      <c r="C210" s="19" t="s">
        <v>30</v>
      </c>
      <c r="D210" s="19" t="s">
        <v>1025</v>
      </c>
      <c r="E210" s="19" t="s">
        <v>32</v>
      </c>
      <c r="G210" s="19" t="s">
        <v>33</v>
      </c>
      <c r="H210" s="19" t="s">
        <v>47</v>
      </c>
      <c r="I210" s="19" t="s">
        <v>1026</v>
      </c>
      <c r="J210" s="19" t="s">
        <v>843</v>
      </c>
      <c r="K210" s="19" t="s">
        <v>350</v>
      </c>
      <c r="L210" s="19" t="s">
        <v>1027</v>
      </c>
      <c r="M210" s="19" t="n">
        <v>2024</v>
      </c>
      <c r="N210" s="19" t="n">
        <v>46</v>
      </c>
      <c r="O210" s="19" t="n">
        <v>46</v>
      </c>
      <c r="P210" s="19" t="n">
        <v>76636</v>
      </c>
      <c r="Q210" s="19" t="n">
        <v>76636</v>
      </c>
      <c r="R210" s="19" t="s">
        <v>39</v>
      </c>
      <c r="S210" s="19" t="s">
        <v>40</v>
      </c>
      <c r="T210" s="19" t="s">
        <v>41</v>
      </c>
      <c r="U210" s="19" t="n">
        <v>1809088</v>
      </c>
      <c r="V210" s="19" t="n">
        <v>613088</v>
      </c>
      <c r="W210" s="19" t="n">
        <v>299000</v>
      </c>
      <c r="X210" s="19" t="s">
        <v>1028</v>
      </c>
      <c r="Y210" s="19" t="n">
        <v>1050088</v>
      </c>
      <c r="Z210" s="19" t="n">
        <v>483000</v>
      </c>
      <c r="AA210" s="19" t="n">
        <v>276000</v>
      </c>
      <c r="AE210" s="19" t="n">
        <v>1</v>
      </c>
      <c r="AL210" s="85" t="n">
        <v>45980</v>
      </c>
      <c r="AM210" s="19" t="n">
        <v>0.878</v>
      </c>
      <c r="AT210" s="19" t="s">
        <v>313</v>
      </c>
      <c r="AU210" s="19" t="s">
        <v>1029</v>
      </c>
      <c r="AV210" s="19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2026-09-07T17:49:47Z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